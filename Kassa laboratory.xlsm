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omments1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filterPrivacy="1" codeName="ЭтаКнига"/>
  <xr:revisionPtr revIDLastSave="0" documentId="13_ncr:1_{605EFE64-8ED2-414E-BEB5-4BE6D349DB18}" xr6:coauthVersionLast="47" xr6:coauthVersionMax="47" xr10:uidLastSave="{00000000-0000-0000-0000-000000000000}"/>
  <bookViews>
    <workbookView xWindow="-108" yWindow="-108" windowWidth="23256" windowHeight="12456" tabRatio="844" xr2:uid="{00000000-000D-0000-FFFF-FFFF00000000}"/>
  </bookViews>
  <sheets>
    <sheet name="1 касса" sheetId="1" r:id="rId1"/>
    <sheet name="2 касса" sheetId="6" r:id="rId2"/>
    <sheet name="3 касса" sheetId="7" r:id="rId3"/>
    <sheet name="4 касса" sheetId="8" r:id="rId4"/>
    <sheet name="5 касса" sheetId="9" r:id="rId5"/>
    <sheet name="6 касса" sheetId="10" r:id="rId6"/>
    <sheet name="7 касса" sheetId="11" r:id="rId7"/>
    <sheet name="8 касса" sheetId="12" r:id="rId8"/>
    <sheet name="9 касса" sheetId="13" r:id="rId9"/>
    <sheet name="10 касса" sheetId="14" r:id="rId10"/>
    <sheet name="Все кассы" sheetId="5" r:id="rId11"/>
    <sheet name="Мастерская" sheetId="2" r:id="rId12"/>
    <sheet name="Новости" sheetId="20" r:id="rId13"/>
  </sheets>
  <definedNames>
    <definedName name="_xlcn.WorksheetConnection_1кассаN2P511" hidden="1">'1 касса'!$N$2:$P$51</definedName>
    <definedName name="ExternalData_1" localSheetId="12" hidden="1">Новости!$A$1:$E$17</definedName>
    <definedName name="ВидСпортаЧемпионат">Мастерская!$I:$I</definedName>
    <definedName name="ВидСтавки">Мастерская!$C$1:$C$3</definedName>
    <definedName name="ИдеяСтавки">Мастерская!$A$1:$A$6</definedName>
    <definedName name="Итог">Мастерская!$E$1:$E$3</definedName>
    <definedName name="ИтогВЦифрах">Мастерская!$G$1:$G$2</definedName>
    <definedName name="Ставка">Мастерская!$B$1:$B$23</definedName>
    <definedName name="ЧьяИдея">Мастерская!$A$1:$A$6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Диапазон" name="Диапазон" connection="WorksheetConnection_1 касса!$N$2:$P$5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26" i="1" l="1"/>
  <c r="AL28" i="1" s="1"/>
  <c r="X2" i="5" s="1" a="1"/>
  <c r="X2" i="5" s="1"/>
  <c r="AL26" i="1"/>
  <c r="AM26" i="14"/>
  <c r="AL28" i="14" s="1"/>
  <c r="AL26" i="14"/>
  <c r="AM26" i="13"/>
  <c r="AL26" i="13"/>
  <c r="AL28" i="13" s="1"/>
  <c r="AM26" i="12"/>
  <c r="AL28" i="12" s="1"/>
  <c r="AL26" i="12"/>
  <c r="AM26" i="11"/>
  <c r="AL28" i="11" s="1"/>
  <c r="AL26" i="11"/>
  <c r="AM26" i="10"/>
  <c r="AL28" i="10" s="1"/>
  <c r="AL26" i="10"/>
  <c r="AM26" i="9"/>
  <c r="AL28" i="9" s="1"/>
  <c r="AL26" i="9"/>
  <c r="AM26" i="8"/>
  <c r="AL28" i="8" s="1"/>
  <c r="AL26" i="8"/>
  <c r="AM26" i="7"/>
  <c r="AL28" i="7" s="1"/>
  <c r="AL26" i="7"/>
  <c r="AM26" i="6"/>
  <c r="AL28" i="6" s="1"/>
  <c r="AL26" i="6"/>
  <c r="Q25" i="1" l="1"/>
  <c r="M25" i="1"/>
  <c r="L25" i="1" s="1"/>
  <c r="J25" i="1"/>
  <c r="K25" i="1" s="1"/>
  <c r="H25" i="1"/>
  <c r="Q24" i="1"/>
  <c r="M24" i="1"/>
  <c r="L24" i="1"/>
  <c r="J24" i="1"/>
  <c r="K24" i="1" s="1"/>
  <c r="H24" i="1"/>
  <c r="Q23" i="1"/>
  <c r="M23" i="1"/>
  <c r="L23" i="1"/>
  <c r="J23" i="1"/>
  <c r="K23" i="1" s="1"/>
  <c r="H23" i="1"/>
  <c r="Q22" i="1"/>
  <c r="M22" i="1"/>
  <c r="L22" i="1" s="1"/>
  <c r="J22" i="1"/>
  <c r="K22" i="1" s="1"/>
  <c r="H22" i="1"/>
  <c r="Q21" i="1"/>
  <c r="M21" i="1"/>
  <c r="L21" i="1" s="1"/>
  <c r="J21" i="1"/>
  <c r="K21" i="1" s="1"/>
  <c r="H21" i="1"/>
  <c r="Q20" i="1"/>
  <c r="M20" i="1"/>
  <c r="L20" i="1"/>
  <c r="J20" i="1"/>
  <c r="K20" i="1" s="1"/>
  <c r="H20" i="1"/>
  <c r="Q19" i="1"/>
  <c r="M19" i="1"/>
  <c r="L19" i="1"/>
  <c r="J19" i="1"/>
  <c r="K19" i="1" s="1"/>
  <c r="H19" i="1"/>
  <c r="Q18" i="1"/>
  <c r="M18" i="1"/>
  <c r="L18" i="1"/>
  <c r="J18" i="1"/>
  <c r="K18" i="1" s="1"/>
  <c r="H18" i="1"/>
  <c r="Q17" i="1"/>
  <c r="M17" i="1"/>
  <c r="L17" i="1" s="1"/>
  <c r="J17" i="1"/>
  <c r="K17" i="1" s="1"/>
  <c r="H17" i="1"/>
  <c r="Q16" i="1"/>
  <c r="M16" i="1"/>
  <c r="L16" i="1"/>
  <c r="J16" i="1"/>
  <c r="K16" i="1" s="1"/>
  <c r="H16" i="1"/>
  <c r="Q15" i="1"/>
  <c r="M15" i="1"/>
  <c r="L15" i="1"/>
  <c r="J15" i="1"/>
  <c r="K15" i="1" s="1"/>
  <c r="H15" i="1"/>
  <c r="Q14" i="1"/>
  <c r="M14" i="1"/>
  <c r="L14" i="1"/>
  <c r="J14" i="1"/>
  <c r="K14" i="1" s="1"/>
  <c r="H14" i="1"/>
  <c r="Q13" i="1"/>
  <c r="M13" i="1"/>
  <c r="L13" i="1" s="1"/>
  <c r="J13" i="1"/>
  <c r="K13" i="1" s="1"/>
  <c r="H13" i="1"/>
  <c r="Q12" i="1"/>
  <c r="M12" i="1"/>
  <c r="L12" i="1"/>
  <c r="J12" i="1"/>
  <c r="K12" i="1" s="1"/>
  <c r="H12" i="1"/>
  <c r="Q11" i="1"/>
  <c r="M11" i="1"/>
  <c r="L11" i="1"/>
  <c r="J11" i="1"/>
  <c r="K11" i="1" s="1"/>
  <c r="H11" i="1"/>
  <c r="Q10" i="1"/>
  <c r="M10" i="1"/>
  <c r="L10" i="1"/>
  <c r="J10" i="1"/>
  <c r="K10" i="1" s="1"/>
  <c r="H10" i="1"/>
  <c r="Q9" i="1"/>
  <c r="M9" i="1"/>
  <c r="L9" i="1" s="1"/>
  <c r="J9" i="1"/>
  <c r="K9" i="1" s="1"/>
  <c r="H9" i="1"/>
  <c r="Q8" i="1"/>
  <c r="M8" i="1"/>
  <c r="L8" i="1" s="1"/>
  <c r="J8" i="1"/>
  <c r="K8" i="1" s="1"/>
  <c r="H8" i="1"/>
  <c r="Q7" i="1"/>
  <c r="M7" i="1"/>
  <c r="L7" i="1"/>
  <c r="J7" i="1"/>
  <c r="K7" i="1" s="1"/>
  <c r="H7" i="1"/>
  <c r="Q6" i="1"/>
  <c r="M6" i="1"/>
  <c r="L6" i="1"/>
  <c r="J6" i="1"/>
  <c r="K6" i="1" s="1"/>
  <c r="H6" i="1"/>
  <c r="Q5" i="1"/>
  <c r="M5" i="1"/>
  <c r="L5" i="1" s="1"/>
  <c r="J5" i="1"/>
  <c r="K5" i="1" s="1"/>
  <c r="H5" i="1"/>
  <c r="Q4" i="1"/>
  <c r="M4" i="1"/>
  <c r="L4" i="1"/>
  <c r="J4" i="1"/>
  <c r="K4" i="1" s="1"/>
  <c r="H4" i="1"/>
  <c r="Q3" i="1"/>
  <c r="M3" i="1"/>
  <c r="L3" i="1" s="1"/>
  <c r="J3" i="1"/>
  <c r="K3" i="1" s="1"/>
  <c r="H3" i="1"/>
  <c r="Q2" i="1"/>
  <c r="M2" i="1"/>
  <c r="L2" i="1"/>
  <c r="J2" i="1"/>
  <c r="K2" i="1" s="1"/>
  <c r="H2" i="1"/>
  <c r="AP31" i="1"/>
  <c r="AO31" i="1"/>
  <c r="AS29" i="1"/>
  <c r="AR29" i="1"/>
  <c r="AQ29" i="1"/>
  <c r="AP29" i="1"/>
  <c r="AO29" i="1"/>
  <c r="AS27" i="1"/>
  <c r="AR27" i="1"/>
  <c r="AQ27" i="1"/>
  <c r="AP27" i="1"/>
  <c r="AO27" i="1"/>
  <c r="AS25" i="1"/>
  <c r="AR25" i="1"/>
  <c r="AQ25" i="1"/>
  <c r="AP25" i="1"/>
  <c r="AO25" i="1"/>
  <c r="AS23" i="1"/>
  <c r="AR23" i="1"/>
  <c r="AQ23" i="1"/>
  <c r="AP23" i="1"/>
  <c r="AO23" i="1"/>
  <c r="AI4" i="14" a="1"/>
  <c r="AI4" i="14" s="1"/>
  <c r="AH4" i="14" a="1"/>
  <c r="AH4" i="14" s="1"/>
  <c r="AG4" i="14"/>
  <c r="AF4" i="14"/>
  <c r="AD4" i="14"/>
  <c r="AB4" i="14"/>
  <c r="AA4" i="14"/>
  <c r="Z4" i="14" a="1"/>
  <c r="Z4" i="14" s="1"/>
  <c r="AI1" i="14" a="1"/>
  <c r="AI1" i="14" s="1"/>
  <c r="AI4" i="13" a="1"/>
  <c r="AI4" i="13" s="1"/>
  <c r="AH4" i="13" a="1"/>
  <c r="AH4" i="13" s="1"/>
  <c r="AG4" i="13"/>
  <c r="AF4" i="13"/>
  <c r="AD4" i="13"/>
  <c r="AB4" i="13"/>
  <c r="AA4" i="13"/>
  <c r="Z4" i="13" a="1"/>
  <c r="Z4" i="13" s="1"/>
  <c r="AI1" i="13" a="1"/>
  <c r="AI1" i="13" s="1"/>
  <c r="AI4" i="12" a="1"/>
  <c r="AI4" i="12" s="1"/>
  <c r="AH4" i="12" a="1"/>
  <c r="AH4" i="12" s="1"/>
  <c r="AG4" i="12"/>
  <c r="AF4" i="12"/>
  <c r="AD4" i="12"/>
  <c r="AB4" i="12"/>
  <c r="AA4" i="12"/>
  <c r="Z4" i="12" a="1"/>
  <c r="Z4" i="12" s="1"/>
  <c r="AI1" i="12" a="1"/>
  <c r="AI1" i="12" s="1"/>
  <c r="AI4" i="11" a="1"/>
  <c r="AI4" i="11" s="1"/>
  <c r="AH4" i="11" a="1"/>
  <c r="AH4" i="11" s="1"/>
  <c r="AG4" i="11"/>
  <c r="AF4" i="11"/>
  <c r="AD4" i="11"/>
  <c r="AB4" i="11"/>
  <c r="AA4" i="11"/>
  <c r="Z4" i="11" a="1"/>
  <c r="Z4" i="11" s="1"/>
  <c r="AI1" i="11" a="1"/>
  <c r="AI1" i="11" s="1"/>
  <c r="AI4" i="10" a="1"/>
  <c r="AI4" i="10" s="1"/>
  <c r="AH4" i="10" a="1"/>
  <c r="AH4" i="10" s="1"/>
  <c r="AG4" i="10"/>
  <c r="AF4" i="10"/>
  <c r="AD4" i="10"/>
  <c r="AB4" i="10"/>
  <c r="AA4" i="10"/>
  <c r="Z4" i="10" a="1"/>
  <c r="Z4" i="10" s="1"/>
  <c r="AI1" i="10" a="1"/>
  <c r="AI1" i="10" s="1"/>
  <c r="AI4" i="9" a="1"/>
  <c r="AI4" i="9" s="1"/>
  <c r="AH4" i="9" a="1"/>
  <c r="AH4" i="9" s="1"/>
  <c r="AG4" i="9"/>
  <c r="AF4" i="9"/>
  <c r="AD4" i="9"/>
  <c r="AB4" i="9"/>
  <c r="AA4" i="9"/>
  <c r="Z4" i="9" a="1"/>
  <c r="Z4" i="9" s="1"/>
  <c r="AI1" i="9" a="1"/>
  <c r="AI1" i="9" s="1"/>
  <c r="AI4" i="8" a="1"/>
  <c r="AI4" i="8" s="1"/>
  <c r="AH4" i="8" a="1"/>
  <c r="AH4" i="8" s="1"/>
  <c r="AG4" i="8"/>
  <c r="AF4" i="8"/>
  <c r="AD4" i="8"/>
  <c r="AB4" i="8"/>
  <c r="AA4" i="8"/>
  <c r="Z4" i="8" a="1"/>
  <c r="Z4" i="8" s="1"/>
  <c r="AI1" i="8" a="1"/>
  <c r="AI1" i="8" s="1"/>
  <c r="AI4" i="7" a="1"/>
  <c r="AI4" i="7" s="1"/>
  <c r="AH4" i="7" a="1"/>
  <c r="AH4" i="7" s="1"/>
  <c r="AG4" i="7"/>
  <c r="AF4" i="7"/>
  <c r="AD4" i="7"/>
  <c r="AB4" i="7"/>
  <c r="AA4" i="7"/>
  <c r="Z4" i="7" a="1"/>
  <c r="Z4" i="7" s="1"/>
  <c r="AI1" i="7" a="1"/>
  <c r="AI1" i="7" s="1"/>
  <c r="AI4" i="6" a="1"/>
  <c r="AI4" i="6" s="1"/>
  <c r="AH4" i="6" a="1"/>
  <c r="AH4" i="6" s="1"/>
  <c r="AG4" i="6"/>
  <c r="AF4" i="6"/>
  <c r="AD4" i="6"/>
  <c r="AB4" i="6"/>
  <c r="AA4" i="6"/>
  <c r="Z4" i="6" a="1"/>
  <c r="Z4" i="6" s="1"/>
  <c r="AI1" i="6" a="1"/>
  <c r="AI1" i="6" s="1"/>
  <c r="AI1" i="1" a="1"/>
  <c r="AI1" i="1" s="1"/>
  <c r="AP31" i="14"/>
  <c r="AO31" i="14"/>
  <c r="AS29" i="14"/>
  <c r="AR29" i="14"/>
  <c r="AQ29" i="14"/>
  <c r="AP29" i="14"/>
  <c r="AO29" i="14"/>
  <c r="AS27" i="14"/>
  <c r="AR27" i="14"/>
  <c r="AQ27" i="14"/>
  <c r="AP27" i="14"/>
  <c r="AO27" i="14"/>
  <c r="AS25" i="14"/>
  <c r="AR25" i="14"/>
  <c r="AQ25" i="14"/>
  <c r="AP25" i="14"/>
  <c r="AO25" i="14"/>
  <c r="AS23" i="14"/>
  <c r="AR23" i="14"/>
  <c r="AQ23" i="14"/>
  <c r="AP23" i="14"/>
  <c r="AO23" i="14"/>
  <c r="AP31" i="13"/>
  <c r="AO31" i="13"/>
  <c r="AS29" i="13"/>
  <c r="AR29" i="13"/>
  <c r="AQ29" i="13"/>
  <c r="AP29" i="13"/>
  <c r="AO29" i="13"/>
  <c r="AS27" i="13"/>
  <c r="AR27" i="13"/>
  <c r="AQ27" i="13"/>
  <c r="AP27" i="13"/>
  <c r="AO27" i="13"/>
  <c r="AS25" i="13"/>
  <c r="AR25" i="13"/>
  <c r="AQ25" i="13"/>
  <c r="AP25" i="13"/>
  <c r="AO25" i="13"/>
  <c r="AS23" i="13"/>
  <c r="AR23" i="13"/>
  <c r="AQ23" i="13"/>
  <c r="AP23" i="13"/>
  <c r="AO23" i="13"/>
  <c r="AP31" i="12"/>
  <c r="AO31" i="12"/>
  <c r="AS29" i="12"/>
  <c r="AR29" i="12"/>
  <c r="AQ29" i="12"/>
  <c r="AP29" i="12"/>
  <c r="AO29" i="12"/>
  <c r="AS27" i="12"/>
  <c r="AR27" i="12"/>
  <c r="AQ27" i="12"/>
  <c r="AP27" i="12"/>
  <c r="AO27" i="12"/>
  <c r="AS25" i="12"/>
  <c r="AR25" i="12"/>
  <c r="AQ25" i="12"/>
  <c r="AP25" i="12"/>
  <c r="AO25" i="12"/>
  <c r="AS23" i="12"/>
  <c r="AR23" i="12"/>
  <c r="AQ23" i="12"/>
  <c r="AP23" i="12"/>
  <c r="AO23" i="12"/>
  <c r="AP31" i="11"/>
  <c r="AO31" i="11"/>
  <c r="AS29" i="11"/>
  <c r="AR29" i="11"/>
  <c r="AQ29" i="11"/>
  <c r="AP29" i="11"/>
  <c r="AO29" i="11"/>
  <c r="AS27" i="11"/>
  <c r="AR27" i="11"/>
  <c r="AQ27" i="11"/>
  <c r="AP27" i="11"/>
  <c r="AO27" i="11"/>
  <c r="AS25" i="11"/>
  <c r="AR25" i="11"/>
  <c r="AQ25" i="11"/>
  <c r="AP25" i="11"/>
  <c r="AO25" i="11"/>
  <c r="AS23" i="11"/>
  <c r="AR23" i="11"/>
  <c r="AQ23" i="11"/>
  <c r="AP23" i="11"/>
  <c r="AO23" i="11"/>
  <c r="AP31" i="10"/>
  <c r="AO31" i="10"/>
  <c r="AS29" i="10"/>
  <c r="AR29" i="10"/>
  <c r="AQ29" i="10"/>
  <c r="AP29" i="10"/>
  <c r="AO29" i="10"/>
  <c r="AS27" i="10"/>
  <c r="AR27" i="10"/>
  <c r="AQ27" i="10"/>
  <c r="AP27" i="10"/>
  <c r="AO27" i="10"/>
  <c r="AS25" i="10"/>
  <c r="AR25" i="10"/>
  <c r="AQ25" i="10"/>
  <c r="AP25" i="10"/>
  <c r="AO25" i="10"/>
  <c r="AS23" i="10"/>
  <c r="AR23" i="10"/>
  <c r="AQ23" i="10"/>
  <c r="AP23" i="10"/>
  <c r="AO23" i="10"/>
  <c r="AP31" i="9"/>
  <c r="AO31" i="9"/>
  <c r="AS29" i="9"/>
  <c r="AR29" i="9"/>
  <c r="AQ29" i="9"/>
  <c r="AP29" i="9"/>
  <c r="AO29" i="9"/>
  <c r="AS27" i="9"/>
  <c r="AR27" i="9"/>
  <c r="AQ27" i="9"/>
  <c r="AP27" i="9"/>
  <c r="AO27" i="9"/>
  <c r="AS25" i="9"/>
  <c r="AR25" i="9"/>
  <c r="AQ25" i="9"/>
  <c r="AP25" i="9"/>
  <c r="AO25" i="9"/>
  <c r="AS23" i="9"/>
  <c r="AR23" i="9"/>
  <c r="AQ23" i="9"/>
  <c r="AP23" i="9"/>
  <c r="AO23" i="9"/>
  <c r="AP31" i="8"/>
  <c r="AO31" i="8"/>
  <c r="AS29" i="8"/>
  <c r="AR29" i="8"/>
  <c r="AQ29" i="8"/>
  <c r="AP29" i="8"/>
  <c r="AO29" i="8"/>
  <c r="AS27" i="8"/>
  <c r="AR27" i="8"/>
  <c r="AQ27" i="8"/>
  <c r="AP27" i="8"/>
  <c r="AO27" i="8"/>
  <c r="AS25" i="8"/>
  <c r="AR25" i="8"/>
  <c r="AQ25" i="8"/>
  <c r="AP25" i="8"/>
  <c r="AO25" i="8"/>
  <c r="AS23" i="8"/>
  <c r="AR23" i="8"/>
  <c r="AQ23" i="8"/>
  <c r="AP23" i="8"/>
  <c r="AO23" i="8"/>
  <c r="AP31" i="7"/>
  <c r="AO31" i="7"/>
  <c r="AS29" i="7"/>
  <c r="AR29" i="7"/>
  <c r="AQ29" i="7"/>
  <c r="AP29" i="7"/>
  <c r="AO29" i="7"/>
  <c r="AS27" i="7"/>
  <c r="AR27" i="7"/>
  <c r="AQ27" i="7"/>
  <c r="AP27" i="7"/>
  <c r="AO27" i="7"/>
  <c r="AS25" i="7"/>
  <c r="AR25" i="7"/>
  <c r="AQ25" i="7"/>
  <c r="AP25" i="7"/>
  <c r="AO25" i="7"/>
  <c r="AS23" i="7"/>
  <c r="AR23" i="7"/>
  <c r="AQ23" i="7"/>
  <c r="AP23" i="7"/>
  <c r="AO23" i="7"/>
  <c r="AP31" i="6"/>
  <c r="AO31" i="6"/>
  <c r="AS29" i="6"/>
  <c r="AR29" i="6"/>
  <c r="AQ29" i="6"/>
  <c r="AP29" i="6"/>
  <c r="AO29" i="6"/>
  <c r="AS27" i="6"/>
  <c r="AR27" i="6"/>
  <c r="AQ27" i="6"/>
  <c r="AP27" i="6"/>
  <c r="AO27" i="6"/>
  <c r="AS25" i="6"/>
  <c r="AR25" i="6"/>
  <c r="AQ25" i="6"/>
  <c r="AP25" i="6"/>
  <c r="AO25" i="6"/>
  <c r="AS23" i="6"/>
  <c r="AR23" i="6"/>
  <c r="AQ23" i="6"/>
  <c r="AP23" i="6"/>
  <c r="AO23" i="6"/>
  <c r="AO9" i="1"/>
  <c r="AH4" i="1" a="1"/>
  <c r="AH4" i="1" s="1"/>
  <c r="AO9" i="14"/>
  <c r="AO9" i="13"/>
  <c r="AO9" i="12"/>
  <c r="AO9" i="11"/>
  <c r="AO9" i="10"/>
  <c r="AO9" i="9"/>
  <c r="AO9" i="8"/>
  <c r="AO9" i="7"/>
  <c r="AO9" i="6"/>
  <c r="J76" i="2" l="1"/>
  <c r="V4" i="5" l="1"/>
  <c r="T4" i="5"/>
  <c r="S4" i="5"/>
  <c r="N4" i="5"/>
  <c r="L4" i="5"/>
  <c r="J4" i="5"/>
  <c r="H4" i="5"/>
  <c r="J88" i="2"/>
  <c r="AS9" i="1" l="1"/>
  <c r="AQ9" i="1"/>
  <c r="AX4" i="1" a="1"/>
  <c r="AX4" i="1" s="1"/>
  <c r="AW4" i="1" a="1"/>
  <c r="AW4" i="1" s="1"/>
  <c r="AQ4" i="1"/>
  <c r="AO4" i="1"/>
  <c r="AM4" i="1"/>
  <c r="AK4" i="1"/>
  <c r="AI4" i="1" a="1"/>
  <c r="AI4" i="1" s="1"/>
  <c r="AF4" i="1"/>
  <c r="AB4" i="1"/>
  <c r="AA4" i="1"/>
  <c r="Z4" i="1" a="1"/>
  <c r="Z4" i="1" s="1"/>
  <c r="J104" i="2" l="1"/>
  <c r="J103" i="2"/>
  <c r="J102" i="2"/>
  <c r="J101" i="2"/>
  <c r="J100" i="2"/>
  <c r="J99" i="2"/>
  <c r="J98" i="2"/>
  <c r="J97" i="2"/>
  <c r="AO19" i="1" s="1"/>
  <c r="J96" i="2"/>
  <c r="J95" i="2"/>
  <c r="J94" i="2"/>
  <c r="J93" i="2"/>
  <c r="AS17" i="1" s="1"/>
  <c r="J92" i="2"/>
  <c r="AR17" i="1" s="1"/>
  <c r="J91" i="2"/>
  <c r="AQ17" i="1" s="1"/>
  <c r="J90" i="2"/>
  <c r="J89" i="2"/>
  <c r="J87" i="2"/>
  <c r="AO17" i="1" s="1"/>
  <c r="J86" i="2"/>
  <c r="J85" i="2"/>
  <c r="J84" i="2"/>
  <c r="J83" i="2"/>
  <c r="J82" i="2"/>
  <c r="J81" i="2"/>
  <c r="J80" i="2"/>
  <c r="J79" i="2"/>
  <c r="J78" i="2"/>
  <c r="J77" i="2"/>
  <c r="J75" i="2"/>
  <c r="J74" i="2"/>
  <c r="AS15" i="1" s="1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AP15" i="1" l="1"/>
  <c r="AR15" i="1"/>
  <c r="AT15" i="1"/>
  <c r="AU15" i="1"/>
  <c r="AV15" i="1"/>
  <c r="AP17" i="1"/>
  <c r="AQ15" i="1"/>
  <c r="J50" i="2"/>
  <c r="J49" i="2"/>
  <c r="J48" i="2"/>
  <c r="J47" i="2"/>
  <c r="J46" i="2"/>
  <c r="J45" i="2"/>
  <c r="J44" i="2"/>
  <c r="J43" i="2"/>
  <c r="J42" i="2"/>
  <c r="J41" i="2"/>
  <c r="AO15" i="1" l="1"/>
  <c r="AV13" i="1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AT13" i="1" l="1"/>
  <c r="AS13" i="1"/>
  <c r="J10" i="2"/>
  <c r="J9" i="2"/>
  <c r="J8" i="2"/>
  <c r="J7" i="2"/>
  <c r="J6" i="2"/>
  <c r="J5" i="2"/>
  <c r="J4" i="2"/>
  <c r="AO13" i="1" s="1"/>
  <c r="J3" i="2"/>
  <c r="J1" i="2"/>
  <c r="J2" i="2"/>
  <c r="AO13" i="14" l="1"/>
  <c r="AO13" i="12"/>
  <c r="AO13" i="10"/>
  <c r="AO13" i="8"/>
  <c r="AO13" i="13"/>
  <c r="AO13" i="11"/>
  <c r="AO13" i="9"/>
  <c r="AO13" i="7"/>
  <c r="AO13" i="6"/>
  <c r="AR13" i="1"/>
  <c r="AU19" i="1" l="1"/>
  <c r="AU19" i="13"/>
  <c r="AU19" i="11"/>
  <c r="AU19" i="9"/>
  <c r="AU19" i="14"/>
  <c r="AU19" i="10"/>
  <c r="AU19" i="8"/>
  <c r="AU19" i="6"/>
  <c r="AU19" i="12"/>
  <c r="AU19" i="7"/>
  <c r="AT19" i="1"/>
  <c r="AT19" i="14"/>
  <c r="AT19" i="12"/>
  <c r="AT19" i="10"/>
  <c r="AT19" i="11"/>
  <c r="AT19" i="7"/>
  <c r="AT19" i="13"/>
  <c r="AT19" i="9"/>
  <c r="AT19" i="8"/>
  <c r="AT19" i="6"/>
  <c r="AV19" i="14"/>
  <c r="AV19" i="12"/>
  <c r="AV19" i="10"/>
  <c r="AV19" i="13"/>
  <c r="AV19" i="9"/>
  <c r="AV19" i="7"/>
  <c r="AV19" i="11"/>
  <c r="AV19" i="8"/>
  <c r="AV19" i="6"/>
  <c r="AV19" i="1"/>
  <c r="AO17" i="13" l="1"/>
  <c r="AO17" i="11"/>
  <c r="AO17" i="9"/>
  <c r="AO17" i="12"/>
  <c r="AO17" i="8"/>
  <c r="AO17" i="6"/>
  <c r="AO17" i="14"/>
  <c r="AO17" i="10"/>
  <c r="AO17" i="7"/>
  <c r="AR17" i="14"/>
  <c r="AR17" i="12"/>
  <c r="AR17" i="10"/>
  <c r="AR17" i="13"/>
  <c r="AR17" i="9"/>
  <c r="AR17" i="7"/>
  <c r="AR17" i="11"/>
  <c r="AR17" i="8"/>
  <c r="AR17" i="6"/>
  <c r="AV17" i="1"/>
  <c r="AV17" i="14"/>
  <c r="AV17" i="12"/>
  <c r="AV17" i="10"/>
  <c r="AV17" i="13"/>
  <c r="AV17" i="9"/>
  <c r="AV17" i="7"/>
  <c r="AV17" i="11"/>
  <c r="AV17" i="8"/>
  <c r="AV17" i="6"/>
  <c r="AV15" i="14"/>
  <c r="AV15" i="12"/>
  <c r="AV15" i="10"/>
  <c r="AV15" i="13"/>
  <c r="AV15" i="9"/>
  <c r="AV15" i="7"/>
  <c r="AV15" i="11"/>
  <c r="AV15" i="8"/>
  <c r="AV15" i="6"/>
  <c r="AS17" i="13"/>
  <c r="AS17" i="11"/>
  <c r="AS17" i="9"/>
  <c r="AS17" i="12"/>
  <c r="AS17" i="8"/>
  <c r="AS17" i="6"/>
  <c r="AS17" i="14"/>
  <c r="AS17" i="10"/>
  <c r="AS17" i="7"/>
  <c r="AU17" i="1"/>
  <c r="AU17" i="13"/>
  <c r="AU17" i="11"/>
  <c r="AU17" i="9"/>
  <c r="AU17" i="14"/>
  <c r="AU17" i="10"/>
  <c r="AU17" i="8"/>
  <c r="AU17" i="6"/>
  <c r="AU17" i="12"/>
  <c r="AU17" i="7"/>
  <c r="AO19" i="13"/>
  <c r="AO19" i="11"/>
  <c r="AO19" i="9"/>
  <c r="AO19" i="12"/>
  <c r="AO19" i="8"/>
  <c r="AO19" i="6"/>
  <c r="AO19" i="14"/>
  <c r="AO19" i="10"/>
  <c r="AO19" i="7"/>
  <c r="AQ19" i="1"/>
  <c r="AQ19" i="13"/>
  <c r="AQ19" i="11"/>
  <c r="AQ19" i="9"/>
  <c r="AQ19" i="14"/>
  <c r="AQ19" i="10"/>
  <c r="AQ19" i="8"/>
  <c r="AQ19" i="6"/>
  <c r="AQ19" i="12"/>
  <c r="AQ19" i="7"/>
  <c r="AS19" i="1"/>
  <c r="AS19" i="13"/>
  <c r="AS19" i="11"/>
  <c r="AS19" i="9"/>
  <c r="AS19" i="12"/>
  <c r="AS19" i="8"/>
  <c r="AS19" i="6"/>
  <c r="AS19" i="14"/>
  <c r="AS19" i="10"/>
  <c r="AS19" i="7"/>
  <c r="AU15" i="13"/>
  <c r="AU15" i="11"/>
  <c r="AU15" i="9"/>
  <c r="AU15" i="14"/>
  <c r="AU15" i="10"/>
  <c r="AU15" i="8"/>
  <c r="AU15" i="6"/>
  <c r="AU15" i="12"/>
  <c r="AU15" i="7"/>
  <c r="AP17" i="14"/>
  <c r="AP17" i="12"/>
  <c r="AP17" i="10"/>
  <c r="AP17" i="11"/>
  <c r="AP17" i="7"/>
  <c r="AP17" i="13"/>
  <c r="AP17" i="9"/>
  <c r="AP17" i="8"/>
  <c r="AP17" i="6"/>
  <c r="AT17" i="1"/>
  <c r="AT17" i="14"/>
  <c r="AT17" i="12"/>
  <c r="AT17" i="10"/>
  <c r="AT17" i="11"/>
  <c r="AT17" i="7"/>
  <c r="AT17" i="13"/>
  <c r="AT17" i="9"/>
  <c r="AT17" i="8"/>
  <c r="AT17" i="6"/>
  <c r="AP19" i="1"/>
  <c r="AP19" i="14"/>
  <c r="AP19" i="12"/>
  <c r="AP19" i="10"/>
  <c r="AP19" i="11"/>
  <c r="AP19" i="7"/>
  <c r="AP19" i="13"/>
  <c r="AP19" i="9"/>
  <c r="AP19" i="8"/>
  <c r="AP19" i="6"/>
  <c r="AR19" i="1"/>
  <c r="AR19" i="14"/>
  <c r="AR19" i="12"/>
  <c r="AR19" i="10"/>
  <c r="AR19" i="13"/>
  <c r="AR19" i="9"/>
  <c r="AR19" i="7"/>
  <c r="AR19" i="11"/>
  <c r="AR19" i="8"/>
  <c r="AR19" i="6"/>
  <c r="AQ17" i="13"/>
  <c r="AQ17" i="11"/>
  <c r="AQ17" i="9"/>
  <c r="AQ17" i="14"/>
  <c r="AQ17" i="10"/>
  <c r="AQ17" i="8"/>
  <c r="AQ17" i="6"/>
  <c r="AQ17" i="12"/>
  <c r="AQ17" i="7"/>
  <c r="AX4" i="14" l="1" a="1"/>
  <c r="AX4" i="14" s="1"/>
  <c r="AW4" i="14" a="1"/>
  <c r="AW4" i="14" s="1"/>
  <c r="AQ4" i="14"/>
  <c r="AO4" i="14"/>
  <c r="AM4" i="14"/>
  <c r="AK4" i="14"/>
  <c r="AX4" i="13" a="1"/>
  <c r="AX4" i="13" s="1"/>
  <c r="AW4" i="13" a="1"/>
  <c r="AW4" i="13" s="1"/>
  <c r="AQ4" i="13"/>
  <c r="AO4" i="13"/>
  <c r="AM4" i="13"/>
  <c r="AK4" i="13"/>
  <c r="AX4" i="12" a="1"/>
  <c r="AX4" i="12" s="1"/>
  <c r="AW4" i="12" a="1"/>
  <c r="AW4" i="12" s="1"/>
  <c r="AQ4" i="12"/>
  <c r="AO4" i="12"/>
  <c r="AM4" i="12"/>
  <c r="AK4" i="12"/>
  <c r="AX4" i="11" a="1"/>
  <c r="AX4" i="11" s="1"/>
  <c r="AW4" i="11" a="1"/>
  <c r="AW4" i="11" s="1"/>
  <c r="AQ4" i="11"/>
  <c r="AO4" i="11"/>
  <c r="AM4" i="11"/>
  <c r="AK4" i="11"/>
  <c r="AX4" i="10" a="1"/>
  <c r="AX4" i="10" s="1"/>
  <c r="AW4" i="10" a="1"/>
  <c r="AW4" i="10" s="1"/>
  <c r="AQ4" i="10"/>
  <c r="AO4" i="10"/>
  <c r="AM4" i="10"/>
  <c r="AK4" i="10"/>
  <c r="AX4" i="9" a="1"/>
  <c r="AX4" i="9" s="1"/>
  <c r="AW4" i="9" a="1"/>
  <c r="AW4" i="9" s="1"/>
  <c r="AQ4" i="9"/>
  <c r="AO4" i="9"/>
  <c r="AM4" i="9"/>
  <c r="AK4" i="9"/>
  <c r="AX4" i="8" a="1"/>
  <c r="AX4" i="8" s="1"/>
  <c r="AW4" i="8" a="1"/>
  <c r="AW4" i="8" s="1"/>
  <c r="AQ4" i="8"/>
  <c r="AO4" i="8"/>
  <c r="AM4" i="8"/>
  <c r="AK4" i="8"/>
  <c r="AX4" i="7" a="1"/>
  <c r="AX4" i="7" s="1"/>
  <c r="AW4" i="7" a="1"/>
  <c r="AW4" i="7" s="1"/>
  <c r="AQ4" i="7"/>
  <c r="AO4" i="7"/>
  <c r="AM4" i="7"/>
  <c r="AK4" i="7"/>
  <c r="AX4" i="6" a="1"/>
  <c r="AX4" i="6" s="1"/>
  <c r="AW4" i="6" a="1"/>
  <c r="AW4" i="6" s="1"/>
  <c r="AQ4" i="6"/>
  <c r="AO4" i="6"/>
  <c r="AM4" i="6"/>
  <c r="AK4" i="6"/>
  <c r="AS13" i="14" l="1"/>
  <c r="AS13" i="12"/>
  <c r="AS13" i="10"/>
  <c r="AS13" i="11"/>
  <c r="AS13" i="9"/>
  <c r="AS13" i="7"/>
  <c r="AS13" i="13"/>
  <c r="AS13" i="8"/>
  <c r="AS13" i="6"/>
  <c r="AT15" i="14"/>
  <c r="AT15" i="12"/>
  <c r="AT15" i="10"/>
  <c r="AT15" i="11"/>
  <c r="AT15" i="7"/>
  <c r="AT15" i="13"/>
  <c r="AT15" i="9"/>
  <c r="AT15" i="8"/>
  <c r="AT15" i="6"/>
  <c r="AO15" i="13" l="1"/>
  <c r="AO15" i="11"/>
  <c r="AO15" i="9"/>
  <c r="AO15" i="12"/>
  <c r="AO15" i="8"/>
  <c r="AO15" i="6"/>
  <c r="AO15" i="14"/>
  <c r="AO15" i="10"/>
  <c r="AO15" i="7"/>
  <c r="AP15" i="12"/>
  <c r="AP15" i="11"/>
  <c r="AP15" i="13"/>
  <c r="AP15" i="8"/>
  <c r="AP15" i="14"/>
  <c r="AP15" i="10"/>
  <c r="AP15" i="7"/>
  <c r="AP15" i="9"/>
  <c r="AP15" i="6"/>
  <c r="AS15" i="13"/>
  <c r="AS15" i="11"/>
  <c r="AS15" i="9"/>
  <c r="AS15" i="12"/>
  <c r="AS15" i="8"/>
  <c r="AS15" i="6"/>
  <c r="AS15" i="14"/>
  <c r="AS15" i="10"/>
  <c r="AS15" i="7"/>
  <c r="AR15" i="14"/>
  <c r="AR15" i="12"/>
  <c r="AR15" i="10"/>
  <c r="AR15" i="13"/>
  <c r="AR15" i="9"/>
  <c r="AR15" i="7"/>
  <c r="AR15" i="11"/>
  <c r="AR15" i="8"/>
  <c r="AR15" i="6"/>
  <c r="AT13" i="13"/>
  <c r="AT13" i="11"/>
  <c r="AT13" i="14"/>
  <c r="AT13" i="10"/>
  <c r="AT13" i="8"/>
  <c r="AT13" i="6"/>
  <c r="AT13" i="12"/>
  <c r="AT13" i="9"/>
  <c r="AT13" i="7"/>
  <c r="AV13" i="14"/>
  <c r="AV13" i="12"/>
  <c r="AV13" i="10"/>
  <c r="AV13" i="13"/>
  <c r="AV13" i="9"/>
  <c r="AV13" i="7"/>
  <c r="AV13" i="11"/>
  <c r="AV13" i="8"/>
  <c r="AV13" i="6"/>
  <c r="AQ15" i="13"/>
  <c r="AQ15" i="9"/>
  <c r="AQ15" i="10"/>
  <c r="AQ15" i="6"/>
  <c r="AQ15" i="7"/>
  <c r="AQ15" i="11"/>
  <c r="AQ15" i="14"/>
  <c r="AQ15" i="8"/>
  <c r="AQ15" i="12"/>
  <c r="AS9" i="14"/>
  <c r="AQ9" i="14"/>
  <c r="AS9" i="13"/>
  <c r="AQ9" i="13"/>
  <c r="AS9" i="12"/>
  <c r="AQ9" i="12"/>
  <c r="AS9" i="11"/>
  <c r="AQ9" i="11"/>
  <c r="AS9" i="10"/>
  <c r="AQ9" i="10"/>
  <c r="AS9" i="9"/>
  <c r="AQ9" i="9"/>
  <c r="AS9" i="8"/>
  <c r="AQ9" i="8"/>
  <c r="AS9" i="7"/>
  <c r="AQ9" i="7"/>
  <c r="AS9" i="6"/>
  <c r="AQ9" i="6"/>
  <c r="AR13" i="13" l="1"/>
  <c r="AR13" i="11"/>
  <c r="AR13" i="12"/>
  <c r="AR13" i="8"/>
  <c r="AR13" i="6"/>
  <c r="AR13" i="14"/>
  <c r="AR13" i="10"/>
  <c r="AR13" i="9"/>
  <c r="AR13" i="7"/>
  <c r="Q71" i="14" l="1"/>
  <c r="M71" i="14"/>
  <c r="L71" i="14" s="1"/>
  <c r="J71" i="14"/>
  <c r="K71" i="14" s="1"/>
  <c r="H71" i="14"/>
  <c r="Q70" i="14"/>
  <c r="M70" i="14"/>
  <c r="L70" i="14" s="1"/>
  <c r="K70" i="14"/>
  <c r="J70" i="14"/>
  <c r="H70" i="14"/>
  <c r="Q69" i="14"/>
  <c r="M69" i="14"/>
  <c r="L69" i="14" s="1"/>
  <c r="J69" i="14"/>
  <c r="K69" i="14" s="1"/>
  <c r="H69" i="14"/>
  <c r="Q68" i="14"/>
  <c r="M68" i="14"/>
  <c r="L68" i="14" s="1"/>
  <c r="K68" i="14"/>
  <c r="J68" i="14"/>
  <c r="H68" i="14"/>
  <c r="Q67" i="14"/>
  <c r="M67" i="14"/>
  <c r="L67" i="14" s="1"/>
  <c r="J67" i="14"/>
  <c r="K67" i="14" s="1"/>
  <c r="H67" i="14"/>
  <c r="Q66" i="14"/>
  <c r="M66" i="14"/>
  <c r="L66" i="14" s="1"/>
  <c r="K66" i="14"/>
  <c r="J66" i="14"/>
  <c r="H66" i="14"/>
  <c r="Q65" i="14"/>
  <c r="M65" i="14"/>
  <c r="L65" i="14" s="1"/>
  <c r="K65" i="14"/>
  <c r="J65" i="14"/>
  <c r="H65" i="14"/>
  <c r="Q64" i="14"/>
  <c r="M64" i="14"/>
  <c r="L64" i="14" s="1"/>
  <c r="J64" i="14"/>
  <c r="K64" i="14" s="1"/>
  <c r="H64" i="14"/>
  <c r="Q63" i="14"/>
  <c r="M63" i="14"/>
  <c r="L63" i="14" s="1"/>
  <c r="J63" i="14"/>
  <c r="K63" i="14" s="1"/>
  <c r="H63" i="14"/>
  <c r="Q62" i="14"/>
  <c r="M62" i="14"/>
  <c r="L62" i="14" s="1"/>
  <c r="K62" i="14"/>
  <c r="J62" i="14"/>
  <c r="H62" i="14"/>
  <c r="Q61" i="14"/>
  <c r="M61" i="14"/>
  <c r="L61" i="14" s="1"/>
  <c r="J61" i="14"/>
  <c r="K61" i="14" s="1"/>
  <c r="H61" i="14"/>
  <c r="Q60" i="14"/>
  <c r="M60" i="14"/>
  <c r="L60" i="14" s="1"/>
  <c r="J60" i="14"/>
  <c r="K60" i="14" s="1"/>
  <c r="H60" i="14"/>
  <c r="Q59" i="14"/>
  <c r="M59" i="14"/>
  <c r="L59" i="14" s="1"/>
  <c r="J59" i="14"/>
  <c r="K59" i="14" s="1"/>
  <c r="H59" i="14"/>
  <c r="Q58" i="14"/>
  <c r="M58" i="14"/>
  <c r="L58" i="14" s="1"/>
  <c r="K58" i="14"/>
  <c r="J58" i="14"/>
  <c r="H58" i="14"/>
  <c r="Q57" i="14"/>
  <c r="M57" i="14"/>
  <c r="L57" i="14" s="1"/>
  <c r="K57" i="14"/>
  <c r="J57" i="14"/>
  <c r="H57" i="14"/>
  <c r="Q56" i="14"/>
  <c r="M56" i="14"/>
  <c r="L56" i="14" s="1"/>
  <c r="J56" i="14"/>
  <c r="K56" i="14" s="1"/>
  <c r="H56" i="14"/>
  <c r="Q55" i="14"/>
  <c r="M55" i="14"/>
  <c r="L55" i="14" s="1"/>
  <c r="J55" i="14"/>
  <c r="K55" i="14" s="1"/>
  <c r="H55" i="14"/>
  <c r="Q54" i="14"/>
  <c r="M54" i="14"/>
  <c r="L54" i="14" s="1"/>
  <c r="K54" i="14"/>
  <c r="J54" i="14"/>
  <c r="H54" i="14"/>
  <c r="Q53" i="14"/>
  <c r="M53" i="14"/>
  <c r="L53" i="14" s="1"/>
  <c r="J53" i="14"/>
  <c r="K53" i="14" s="1"/>
  <c r="H53" i="14"/>
  <c r="Q52" i="14"/>
  <c r="M52" i="14"/>
  <c r="L52" i="14" s="1"/>
  <c r="J52" i="14"/>
  <c r="K52" i="14" s="1"/>
  <c r="H52" i="14"/>
  <c r="Q51" i="14"/>
  <c r="M51" i="14"/>
  <c r="L51" i="14" s="1"/>
  <c r="J51" i="14"/>
  <c r="K51" i="14" s="1"/>
  <c r="H51" i="14"/>
  <c r="Q50" i="14"/>
  <c r="M50" i="14"/>
  <c r="L50" i="14" s="1"/>
  <c r="K50" i="14"/>
  <c r="J50" i="14"/>
  <c r="H50" i="14"/>
  <c r="Q49" i="14"/>
  <c r="M49" i="14"/>
  <c r="L49" i="14" s="1"/>
  <c r="K49" i="14"/>
  <c r="J49" i="14"/>
  <c r="H49" i="14"/>
  <c r="Q48" i="14"/>
  <c r="M48" i="14"/>
  <c r="L48" i="14" s="1"/>
  <c r="J48" i="14"/>
  <c r="K48" i="14" s="1"/>
  <c r="H48" i="14"/>
  <c r="Q47" i="14"/>
  <c r="M47" i="14"/>
  <c r="L47" i="14" s="1"/>
  <c r="J47" i="14"/>
  <c r="K47" i="14" s="1"/>
  <c r="H47" i="14"/>
  <c r="Q46" i="14"/>
  <c r="M46" i="14"/>
  <c r="L46" i="14" s="1"/>
  <c r="K46" i="14"/>
  <c r="J46" i="14"/>
  <c r="H46" i="14"/>
  <c r="Q45" i="14"/>
  <c r="M45" i="14"/>
  <c r="L45" i="14" s="1"/>
  <c r="J45" i="14"/>
  <c r="K45" i="14" s="1"/>
  <c r="H45" i="14"/>
  <c r="Q44" i="14"/>
  <c r="M44" i="14"/>
  <c r="L44" i="14" s="1"/>
  <c r="J44" i="14"/>
  <c r="K44" i="14" s="1"/>
  <c r="H44" i="14"/>
  <c r="Q43" i="14"/>
  <c r="M43" i="14"/>
  <c r="L43" i="14" s="1"/>
  <c r="J43" i="14"/>
  <c r="K43" i="14" s="1"/>
  <c r="H43" i="14"/>
  <c r="Q42" i="14"/>
  <c r="M42" i="14"/>
  <c r="L42" i="14" s="1"/>
  <c r="K42" i="14"/>
  <c r="J42" i="14"/>
  <c r="H42" i="14"/>
  <c r="Q41" i="14"/>
  <c r="M41" i="14"/>
  <c r="L41" i="14" s="1"/>
  <c r="K41" i="14"/>
  <c r="J41" i="14"/>
  <c r="H41" i="14"/>
  <c r="Q40" i="14"/>
  <c r="M40" i="14"/>
  <c r="L40" i="14" s="1"/>
  <c r="J40" i="14"/>
  <c r="K40" i="14" s="1"/>
  <c r="H40" i="14"/>
  <c r="Q39" i="14"/>
  <c r="M39" i="14"/>
  <c r="L39" i="14" s="1"/>
  <c r="J39" i="14"/>
  <c r="K39" i="14" s="1"/>
  <c r="H39" i="14"/>
  <c r="Q38" i="14"/>
  <c r="M38" i="14"/>
  <c r="L38" i="14" s="1"/>
  <c r="K38" i="14"/>
  <c r="J38" i="14"/>
  <c r="H38" i="14"/>
  <c r="Q37" i="14"/>
  <c r="M37" i="14"/>
  <c r="L37" i="14" s="1"/>
  <c r="J37" i="14"/>
  <c r="K37" i="14" s="1"/>
  <c r="H37" i="14"/>
  <c r="Q36" i="14"/>
  <c r="M36" i="14"/>
  <c r="L36" i="14" s="1"/>
  <c r="J36" i="14"/>
  <c r="K36" i="14" s="1"/>
  <c r="H36" i="14"/>
  <c r="Q35" i="14"/>
  <c r="M35" i="14"/>
  <c r="L35" i="14" s="1"/>
  <c r="J35" i="14"/>
  <c r="K35" i="14" s="1"/>
  <c r="H35" i="14"/>
  <c r="Q34" i="14"/>
  <c r="M34" i="14"/>
  <c r="L34" i="14" s="1"/>
  <c r="K34" i="14"/>
  <c r="J34" i="14"/>
  <c r="H34" i="14"/>
  <c r="Q33" i="14"/>
  <c r="M33" i="14"/>
  <c r="L33" i="14" s="1"/>
  <c r="K33" i="14"/>
  <c r="J33" i="14"/>
  <c r="H33" i="14"/>
  <c r="Q32" i="14"/>
  <c r="M32" i="14"/>
  <c r="L32" i="14" s="1"/>
  <c r="J32" i="14"/>
  <c r="K32" i="14" s="1"/>
  <c r="H32" i="14"/>
  <c r="Q31" i="14"/>
  <c r="M31" i="14"/>
  <c r="L31" i="14" s="1"/>
  <c r="J31" i="14"/>
  <c r="K31" i="14" s="1"/>
  <c r="H31" i="14"/>
  <c r="Q30" i="14"/>
  <c r="M30" i="14"/>
  <c r="L30" i="14" s="1"/>
  <c r="K30" i="14"/>
  <c r="J30" i="14"/>
  <c r="H30" i="14"/>
  <c r="Q29" i="14"/>
  <c r="M29" i="14"/>
  <c r="L29" i="14" s="1"/>
  <c r="J29" i="14"/>
  <c r="K29" i="14" s="1"/>
  <c r="H29" i="14"/>
  <c r="Q28" i="14"/>
  <c r="M28" i="14"/>
  <c r="L28" i="14" s="1"/>
  <c r="K28" i="14"/>
  <c r="J28" i="14"/>
  <c r="H28" i="14"/>
  <c r="Q27" i="14"/>
  <c r="M27" i="14"/>
  <c r="L27" i="14" s="1"/>
  <c r="J27" i="14"/>
  <c r="K27" i="14" s="1"/>
  <c r="H27" i="14"/>
  <c r="Q26" i="14"/>
  <c r="M26" i="14"/>
  <c r="L26" i="14" s="1"/>
  <c r="K26" i="14"/>
  <c r="J26" i="14"/>
  <c r="H26" i="14"/>
  <c r="Q25" i="14"/>
  <c r="M25" i="14"/>
  <c r="L25" i="14" s="1"/>
  <c r="K25" i="14"/>
  <c r="J25" i="14"/>
  <c r="H25" i="14"/>
  <c r="Q24" i="14"/>
  <c r="M24" i="14"/>
  <c r="L24" i="14" s="1"/>
  <c r="J24" i="14"/>
  <c r="K24" i="14" s="1"/>
  <c r="H24" i="14"/>
  <c r="Q23" i="14"/>
  <c r="M23" i="14"/>
  <c r="L23" i="14" s="1"/>
  <c r="J23" i="14"/>
  <c r="K23" i="14" s="1"/>
  <c r="H23" i="14"/>
  <c r="Q22" i="14"/>
  <c r="M22" i="14"/>
  <c r="L22" i="14" s="1"/>
  <c r="K22" i="14"/>
  <c r="J22" i="14"/>
  <c r="H22" i="14"/>
  <c r="Q21" i="14"/>
  <c r="M21" i="14"/>
  <c r="L21" i="14" s="1"/>
  <c r="J21" i="14"/>
  <c r="K21" i="14" s="1"/>
  <c r="H21" i="14"/>
  <c r="Q20" i="14"/>
  <c r="M20" i="14"/>
  <c r="L20" i="14" s="1"/>
  <c r="K20" i="14"/>
  <c r="J20" i="14"/>
  <c r="H20" i="14"/>
  <c r="Q19" i="14"/>
  <c r="M19" i="14"/>
  <c r="L19" i="14" s="1"/>
  <c r="J19" i="14"/>
  <c r="K19" i="14" s="1"/>
  <c r="H19" i="14"/>
  <c r="Q18" i="14"/>
  <c r="M18" i="14"/>
  <c r="L18" i="14" s="1"/>
  <c r="K18" i="14"/>
  <c r="J18" i="14"/>
  <c r="H18" i="14"/>
  <c r="Q17" i="14"/>
  <c r="M17" i="14"/>
  <c r="L17" i="14" s="1"/>
  <c r="K17" i="14"/>
  <c r="J17" i="14"/>
  <c r="H17" i="14"/>
  <c r="Q16" i="14"/>
  <c r="M16" i="14"/>
  <c r="L16" i="14" s="1"/>
  <c r="J16" i="14"/>
  <c r="K16" i="14" s="1"/>
  <c r="H16" i="14"/>
  <c r="Q15" i="14"/>
  <c r="M15" i="14"/>
  <c r="L15" i="14" s="1"/>
  <c r="J15" i="14"/>
  <c r="K15" i="14" s="1"/>
  <c r="H15" i="14"/>
  <c r="Q14" i="14"/>
  <c r="M14" i="14"/>
  <c r="L14" i="14" s="1"/>
  <c r="K14" i="14"/>
  <c r="J14" i="14"/>
  <c r="H14" i="14"/>
  <c r="Q13" i="14"/>
  <c r="M13" i="14"/>
  <c r="L13" i="14" s="1"/>
  <c r="J13" i="14"/>
  <c r="K13" i="14" s="1"/>
  <c r="H13" i="14"/>
  <c r="Q12" i="14"/>
  <c r="M12" i="14"/>
  <c r="L12" i="14" s="1"/>
  <c r="K12" i="14"/>
  <c r="J12" i="14"/>
  <c r="H12" i="14"/>
  <c r="Q11" i="14"/>
  <c r="M11" i="14"/>
  <c r="L11" i="14" s="1"/>
  <c r="J11" i="14"/>
  <c r="K11" i="14" s="1"/>
  <c r="H11" i="14"/>
  <c r="Q10" i="14"/>
  <c r="M10" i="14"/>
  <c r="L10" i="14" s="1"/>
  <c r="K10" i="14"/>
  <c r="J10" i="14"/>
  <c r="H10" i="14"/>
  <c r="Q9" i="14"/>
  <c r="M9" i="14"/>
  <c r="L9" i="14" s="1"/>
  <c r="K9" i="14"/>
  <c r="J9" i="14"/>
  <c r="H9" i="14"/>
  <c r="Q8" i="14"/>
  <c r="M8" i="14"/>
  <c r="L8" i="14" s="1"/>
  <c r="J8" i="14"/>
  <c r="K8" i="14" s="1"/>
  <c r="H8" i="14"/>
  <c r="Q7" i="14"/>
  <c r="M7" i="14"/>
  <c r="L7" i="14" s="1"/>
  <c r="J7" i="14"/>
  <c r="K7" i="14" s="1"/>
  <c r="H7" i="14"/>
  <c r="Q6" i="14"/>
  <c r="M6" i="14"/>
  <c r="L6" i="14" s="1"/>
  <c r="K6" i="14"/>
  <c r="J6" i="14"/>
  <c r="H6" i="14"/>
  <c r="Q5" i="14"/>
  <c r="M5" i="14"/>
  <c r="L5" i="14" s="1"/>
  <c r="K5" i="14"/>
  <c r="J5" i="14"/>
  <c r="H5" i="14"/>
  <c r="Q4" i="14"/>
  <c r="M4" i="14"/>
  <c r="L4" i="14" s="1"/>
  <c r="K4" i="14"/>
  <c r="J4" i="14"/>
  <c r="H4" i="14"/>
  <c r="Q3" i="14"/>
  <c r="M3" i="14"/>
  <c r="L3" i="14" s="1"/>
  <c r="J3" i="14"/>
  <c r="K3" i="14" s="1"/>
  <c r="H3" i="14"/>
  <c r="Q2" i="14"/>
  <c r="M2" i="14"/>
  <c r="L2" i="14"/>
  <c r="J2" i="14"/>
  <c r="H2" i="14"/>
  <c r="K2" i="14" l="1"/>
  <c r="AV4" i="14" a="1"/>
  <c r="AV4" i="14" s="1"/>
  <c r="AU4" i="14" a="1"/>
  <c r="AU4" i="14" s="1"/>
  <c r="AS4" i="14"/>
  <c r="U2" i="14"/>
  <c r="U2" i="2" s="1"/>
  <c r="T2" i="14"/>
  <c r="W2" i="14" s="1"/>
  <c r="X2" i="14" s="1"/>
  <c r="V2" i="14"/>
  <c r="Q71" i="13"/>
  <c r="M71" i="13"/>
  <c r="L71" i="13" s="1"/>
  <c r="K71" i="13"/>
  <c r="J71" i="13"/>
  <c r="H71" i="13"/>
  <c r="Q70" i="13"/>
  <c r="M70" i="13"/>
  <c r="L70" i="13" s="1"/>
  <c r="K70" i="13"/>
  <c r="J70" i="13"/>
  <c r="H70" i="13"/>
  <c r="Q69" i="13"/>
  <c r="M69" i="13"/>
  <c r="L69" i="13" s="1"/>
  <c r="J69" i="13"/>
  <c r="K69" i="13" s="1"/>
  <c r="H69" i="13"/>
  <c r="Q68" i="13"/>
  <c r="M68" i="13"/>
  <c r="L68" i="13" s="1"/>
  <c r="K68" i="13"/>
  <c r="J68" i="13"/>
  <c r="H68" i="13"/>
  <c r="Q67" i="13"/>
  <c r="M67" i="13"/>
  <c r="L67" i="13" s="1"/>
  <c r="K67" i="13"/>
  <c r="J67" i="13"/>
  <c r="H67" i="13"/>
  <c r="Q66" i="13"/>
  <c r="M66" i="13"/>
  <c r="L66" i="13" s="1"/>
  <c r="J66" i="13"/>
  <c r="K66" i="13" s="1"/>
  <c r="H66" i="13"/>
  <c r="Q65" i="13"/>
  <c r="M65" i="13"/>
  <c r="L65" i="13" s="1"/>
  <c r="J65" i="13"/>
  <c r="K65" i="13" s="1"/>
  <c r="H65" i="13"/>
  <c r="Q64" i="13"/>
  <c r="M64" i="13"/>
  <c r="L64" i="13" s="1"/>
  <c r="J64" i="13"/>
  <c r="K64" i="13" s="1"/>
  <c r="H64" i="13"/>
  <c r="Q63" i="13"/>
  <c r="M63" i="13"/>
  <c r="L63" i="13" s="1"/>
  <c r="K63" i="13"/>
  <c r="J63" i="13"/>
  <c r="H63" i="13"/>
  <c r="Q62" i="13"/>
  <c r="M62" i="13"/>
  <c r="L62" i="13" s="1"/>
  <c r="K62" i="13"/>
  <c r="J62" i="13"/>
  <c r="H62" i="13"/>
  <c r="Q61" i="13"/>
  <c r="M61" i="13"/>
  <c r="L61" i="13" s="1"/>
  <c r="J61" i="13"/>
  <c r="K61" i="13" s="1"/>
  <c r="H61" i="13"/>
  <c r="Q60" i="13"/>
  <c r="M60" i="13"/>
  <c r="L60" i="13" s="1"/>
  <c r="K60" i="13"/>
  <c r="J60" i="13"/>
  <c r="H60" i="13"/>
  <c r="Q59" i="13"/>
  <c r="M59" i="13"/>
  <c r="L59" i="13" s="1"/>
  <c r="K59" i="13"/>
  <c r="J59" i="13"/>
  <c r="H59" i="13"/>
  <c r="Q58" i="13"/>
  <c r="M58" i="13"/>
  <c r="L58" i="13" s="1"/>
  <c r="K58" i="13"/>
  <c r="J58" i="13"/>
  <c r="H58" i="13"/>
  <c r="Q57" i="13"/>
  <c r="M57" i="13"/>
  <c r="L57" i="13" s="1"/>
  <c r="J57" i="13"/>
  <c r="K57" i="13" s="1"/>
  <c r="H57" i="13"/>
  <c r="Q56" i="13"/>
  <c r="M56" i="13"/>
  <c r="L56" i="13" s="1"/>
  <c r="J56" i="13"/>
  <c r="K56" i="13" s="1"/>
  <c r="H56" i="13"/>
  <c r="Q55" i="13"/>
  <c r="M55" i="13"/>
  <c r="L55" i="13" s="1"/>
  <c r="K55" i="13"/>
  <c r="J55" i="13"/>
  <c r="H55" i="13"/>
  <c r="Q54" i="13"/>
  <c r="M54" i="13"/>
  <c r="L54" i="13" s="1"/>
  <c r="K54" i="13"/>
  <c r="J54" i="13"/>
  <c r="H54" i="13"/>
  <c r="Q53" i="13"/>
  <c r="M53" i="13"/>
  <c r="L53" i="13" s="1"/>
  <c r="J53" i="13"/>
  <c r="K53" i="13" s="1"/>
  <c r="H53" i="13"/>
  <c r="Q52" i="13"/>
  <c r="M52" i="13"/>
  <c r="L52" i="13" s="1"/>
  <c r="K52" i="13"/>
  <c r="J52" i="13"/>
  <c r="H52" i="13"/>
  <c r="Q51" i="13"/>
  <c r="M51" i="13"/>
  <c r="L51" i="13" s="1"/>
  <c r="K51" i="13"/>
  <c r="J51" i="13"/>
  <c r="H51" i="13"/>
  <c r="Q50" i="13"/>
  <c r="M50" i="13"/>
  <c r="L50" i="13" s="1"/>
  <c r="K50" i="13"/>
  <c r="J50" i="13"/>
  <c r="H50" i="13"/>
  <c r="Q49" i="13"/>
  <c r="M49" i="13"/>
  <c r="L49" i="13" s="1"/>
  <c r="J49" i="13"/>
  <c r="K49" i="13" s="1"/>
  <c r="H49" i="13"/>
  <c r="Q48" i="13"/>
  <c r="M48" i="13"/>
  <c r="L48" i="13" s="1"/>
  <c r="J48" i="13"/>
  <c r="K48" i="13" s="1"/>
  <c r="H48" i="13"/>
  <c r="Q47" i="13"/>
  <c r="M47" i="13"/>
  <c r="L47" i="13" s="1"/>
  <c r="K47" i="13"/>
  <c r="J47" i="13"/>
  <c r="H47" i="13"/>
  <c r="Q46" i="13"/>
  <c r="M46" i="13"/>
  <c r="L46" i="13" s="1"/>
  <c r="K46" i="13"/>
  <c r="J46" i="13"/>
  <c r="H46" i="13"/>
  <c r="Q45" i="13"/>
  <c r="M45" i="13"/>
  <c r="L45" i="13" s="1"/>
  <c r="J45" i="13"/>
  <c r="K45" i="13" s="1"/>
  <c r="H45" i="13"/>
  <c r="Q44" i="13"/>
  <c r="M44" i="13"/>
  <c r="L44" i="13" s="1"/>
  <c r="J44" i="13"/>
  <c r="K44" i="13" s="1"/>
  <c r="H44" i="13"/>
  <c r="Q43" i="13"/>
  <c r="M43" i="13"/>
  <c r="L43" i="13" s="1"/>
  <c r="K43" i="13"/>
  <c r="J43" i="13"/>
  <c r="H43" i="13"/>
  <c r="Q42" i="13"/>
  <c r="M42" i="13"/>
  <c r="L42" i="13" s="1"/>
  <c r="K42" i="13"/>
  <c r="J42" i="13"/>
  <c r="H42" i="13"/>
  <c r="Q41" i="13"/>
  <c r="M41" i="13"/>
  <c r="L41" i="13" s="1"/>
  <c r="J41" i="13"/>
  <c r="K41" i="13" s="1"/>
  <c r="H41" i="13"/>
  <c r="Q40" i="13"/>
  <c r="M40" i="13"/>
  <c r="L40" i="13" s="1"/>
  <c r="J40" i="13"/>
  <c r="K40" i="13" s="1"/>
  <c r="H40" i="13"/>
  <c r="Q39" i="13"/>
  <c r="M39" i="13"/>
  <c r="L39" i="13" s="1"/>
  <c r="K39" i="13"/>
  <c r="J39" i="13"/>
  <c r="H39" i="13"/>
  <c r="Q38" i="13"/>
  <c r="M38" i="13"/>
  <c r="L38" i="13" s="1"/>
  <c r="K38" i="13"/>
  <c r="J38" i="13"/>
  <c r="H38" i="13"/>
  <c r="Q37" i="13"/>
  <c r="M37" i="13"/>
  <c r="L37" i="13" s="1"/>
  <c r="J37" i="13"/>
  <c r="K37" i="13" s="1"/>
  <c r="H37" i="13"/>
  <c r="Q36" i="13"/>
  <c r="M36" i="13"/>
  <c r="L36" i="13" s="1"/>
  <c r="J36" i="13"/>
  <c r="K36" i="13" s="1"/>
  <c r="H36" i="13"/>
  <c r="Q35" i="13"/>
  <c r="M35" i="13"/>
  <c r="L35" i="13" s="1"/>
  <c r="K35" i="13"/>
  <c r="J35" i="13"/>
  <c r="H35" i="13"/>
  <c r="Q34" i="13"/>
  <c r="M34" i="13"/>
  <c r="L34" i="13" s="1"/>
  <c r="K34" i="13"/>
  <c r="J34" i="13"/>
  <c r="H34" i="13"/>
  <c r="Q33" i="13"/>
  <c r="M33" i="13"/>
  <c r="L33" i="13" s="1"/>
  <c r="J33" i="13"/>
  <c r="K33" i="13" s="1"/>
  <c r="H33" i="13"/>
  <c r="Q32" i="13"/>
  <c r="M32" i="13"/>
  <c r="L32" i="13" s="1"/>
  <c r="J32" i="13"/>
  <c r="K32" i="13" s="1"/>
  <c r="H32" i="13"/>
  <c r="Q31" i="13"/>
  <c r="M31" i="13"/>
  <c r="L31" i="13" s="1"/>
  <c r="K31" i="13"/>
  <c r="J31" i="13"/>
  <c r="H31" i="13"/>
  <c r="Q30" i="13"/>
  <c r="M30" i="13"/>
  <c r="L30" i="13" s="1"/>
  <c r="K30" i="13"/>
  <c r="J30" i="13"/>
  <c r="H30" i="13"/>
  <c r="Q29" i="13"/>
  <c r="M29" i="13"/>
  <c r="L29" i="13" s="1"/>
  <c r="J29" i="13"/>
  <c r="K29" i="13" s="1"/>
  <c r="H29" i="13"/>
  <c r="Q28" i="13"/>
  <c r="M28" i="13"/>
  <c r="L28" i="13" s="1"/>
  <c r="J28" i="13"/>
  <c r="K28" i="13" s="1"/>
  <c r="H28" i="13"/>
  <c r="Q27" i="13"/>
  <c r="M27" i="13"/>
  <c r="L27" i="13" s="1"/>
  <c r="K27" i="13"/>
  <c r="J27" i="13"/>
  <c r="H27" i="13"/>
  <c r="Q26" i="13"/>
  <c r="M26" i="13"/>
  <c r="L26" i="13" s="1"/>
  <c r="K26" i="13"/>
  <c r="J26" i="13"/>
  <c r="H26" i="13"/>
  <c r="Q25" i="13"/>
  <c r="M25" i="13"/>
  <c r="L25" i="13" s="1"/>
  <c r="J25" i="13"/>
  <c r="K25" i="13" s="1"/>
  <c r="H25" i="13"/>
  <c r="Q24" i="13"/>
  <c r="M24" i="13"/>
  <c r="L24" i="13" s="1"/>
  <c r="J24" i="13"/>
  <c r="K24" i="13" s="1"/>
  <c r="H24" i="13"/>
  <c r="Q23" i="13"/>
  <c r="M23" i="13"/>
  <c r="L23" i="13" s="1"/>
  <c r="K23" i="13"/>
  <c r="J23" i="13"/>
  <c r="H23" i="13"/>
  <c r="Q22" i="13"/>
  <c r="M22" i="13"/>
  <c r="L22" i="13" s="1"/>
  <c r="K22" i="13"/>
  <c r="J22" i="13"/>
  <c r="H22" i="13"/>
  <c r="Q21" i="13"/>
  <c r="M21" i="13"/>
  <c r="L21" i="13" s="1"/>
  <c r="J21" i="13"/>
  <c r="K21" i="13" s="1"/>
  <c r="H21" i="13"/>
  <c r="Q20" i="13"/>
  <c r="M20" i="13"/>
  <c r="L20" i="13" s="1"/>
  <c r="J20" i="13"/>
  <c r="K20" i="13" s="1"/>
  <c r="H20" i="13"/>
  <c r="Q19" i="13"/>
  <c r="M19" i="13"/>
  <c r="L19" i="13" s="1"/>
  <c r="K19" i="13"/>
  <c r="J19" i="13"/>
  <c r="H19" i="13"/>
  <c r="Q18" i="13"/>
  <c r="M18" i="13"/>
  <c r="L18" i="13" s="1"/>
  <c r="K18" i="13"/>
  <c r="J18" i="13"/>
  <c r="H18" i="13"/>
  <c r="Q17" i="13"/>
  <c r="M17" i="13"/>
  <c r="L17" i="13" s="1"/>
  <c r="J17" i="13"/>
  <c r="K17" i="13" s="1"/>
  <c r="H17" i="13"/>
  <c r="Q16" i="13"/>
  <c r="M16" i="13"/>
  <c r="L16" i="13" s="1"/>
  <c r="J16" i="13"/>
  <c r="K16" i="13" s="1"/>
  <c r="H16" i="13"/>
  <c r="Q15" i="13"/>
  <c r="M15" i="13"/>
  <c r="L15" i="13" s="1"/>
  <c r="K15" i="13"/>
  <c r="J15" i="13"/>
  <c r="H15" i="13"/>
  <c r="Q14" i="13"/>
  <c r="M14" i="13"/>
  <c r="L14" i="13" s="1"/>
  <c r="K14" i="13"/>
  <c r="J14" i="13"/>
  <c r="H14" i="13"/>
  <c r="Q13" i="13"/>
  <c r="M13" i="13"/>
  <c r="L13" i="13" s="1"/>
  <c r="J13" i="13"/>
  <c r="K13" i="13" s="1"/>
  <c r="H13" i="13"/>
  <c r="Q12" i="13"/>
  <c r="M12" i="13"/>
  <c r="L12" i="13" s="1"/>
  <c r="J12" i="13"/>
  <c r="K12" i="13" s="1"/>
  <c r="H12" i="13"/>
  <c r="Q11" i="13"/>
  <c r="M11" i="13"/>
  <c r="L11" i="13" s="1"/>
  <c r="K11" i="13"/>
  <c r="J11" i="13"/>
  <c r="H11" i="13"/>
  <c r="Q10" i="13"/>
  <c r="M10" i="13"/>
  <c r="L10" i="13" s="1"/>
  <c r="K10" i="13"/>
  <c r="J10" i="13"/>
  <c r="H10" i="13"/>
  <c r="Q9" i="13"/>
  <c r="M9" i="13"/>
  <c r="L9" i="13" s="1"/>
  <c r="J9" i="13"/>
  <c r="K9" i="13" s="1"/>
  <c r="H9" i="13"/>
  <c r="Q8" i="13"/>
  <c r="M8" i="13"/>
  <c r="L8" i="13" s="1"/>
  <c r="J8" i="13"/>
  <c r="K8" i="13" s="1"/>
  <c r="H8" i="13"/>
  <c r="Q7" i="13"/>
  <c r="M7" i="13"/>
  <c r="L7" i="13" s="1"/>
  <c r="K7" i="13"/>
  <c r="J7" i="13"/>
  <c r="H7" i="13"/>
  <c r="Q6" i="13"/>
  <c r="T2" i="13" s="1"/>
  <c r="W2" i="13" s="1"/>
  <c r="X2" i="13" s="1"/>
  <c r="M6" i="13"/>
  <c r="L6" i="13" s="1"/>
  <c r="K6" i="13"/>
  <c r="J6" i="13"/>
  <c r="H6" i="13"/>
  <c r="Q5" i="13"/>
  <c r="V2" i="13" s="1"/>
  <c r="M5" i="13"/>
  <c r="L5" i="13" s="1"/>
  <c r="J5" i="13"/>
  <c r="K5" i="13" s="1"/>
  <c r="H5" i="13"/>
  <c r="Q4" i="13"/>
  <c r="M4" i="13"/>
  <c r="L4" i="13"/>
  <c r="J4" i="13"/>
  <c r="K4" i="13" s="1"/>
  <c r="H4" i="13"/>
  <c r="Q3" i="13"/>
  <c r="M3" i="13"/>
  <c r="L3" i="13"/>
  <c r="J3" i="13"/>
  <c r="K3" i="13" s="1"/>
  <c r="H3" i="13"/>
  <c r="Q2" i="13"/>
  <c r="M2" i="13"/>
  <c r="L2" i="13" s="1"/>
  <c r="J2" i="13"/>
  <c r="K2" i="13" s="1"/>
  <c r="H2" i="13"/>
  <c r="Q71" i="12"/>
  <c r="M71" i="12"/>
  <c r="L71" i="12" s="1"/>
  <c r="K71" i="12"/>
  <c r="J71" i="12"/>
  <c r="H71" i="12"/>
  <c r="Q70" i="12"/>
  <c r="M70" i="12"/>
  <c r="L70" i="12" s="1"/>
  <c r="K70" i="12"/>
  <c r="J70" i="12"/>
  <c r="H70" i="12"/>
  <c r="Q69" i="12"/>
  <c r="M69" i="12"/>
  <c r="L69" i="12" s="1"/>
  <c r="J69" i="12"/>
  <c r="K69" i="12" s="1"/>
  <c r="H69" i="12"/>
  <c r="Q68" i="12"/>
  <c r="M68" i="12"/>
  <c r="L68" i="12" s="1"/>
  <c r="J68" i="12"/>
  <c r="K68" i="12" s="1"/>
  <c r="H68" i="12"/>
  <c r="Q67" i="12"/>
  <c r="M67" i="12"/>
  <c r="L67" i="12" s="1"/>
  <c r="K67" i="12"/>
  <c r="J67" i="12"/>
  <c r="H67" i="12"/>
  <c r="Q66" i="12"/>
  <c r="M66" i="12"/>
  <c r="L66" i="12" s="1"/>
  <c r="K66" i="12"/>
  <c r="J66" i="12"/>
  <c r="H66" i="12"/>
  <c r="Q65" i="12"/>
  <c r="M65" i="12"/>
  <c r="L65" i="12" s="1"/>
  <c r="J65" i="12"/>
  <c r="K65" i="12" s="1"/>
  <c r="H65" i="12"/>
  <c r="Q64" i="12"/>
  <c r="M64" i="12"/>
  <c r="L64" i="12" s="1"/>
  <c r="J64" i="12"/>
  <c r="K64" i="12" s="1"/>
  <c r="H64" i="12"/>
  <c r="Q63" i="12"/>
  <c r="M63" i="12"/>
  <c r="L63" i="12" s="1"/>
  <c r="K63" i="12"/>
  <c r="J63" i="12"/>
  <c r="H63" i="12"/>
  <c r="Q62" i="12"/>
  <c r="M62" i="12"/>
  <c r="L62" i="12" s="1"/>
  <c r="K62" i="12"/>
  <c r="J62" i="12"/>
  <c r="H62" i="12"/>
  <c r="Q61" i="12"/>
  <c r="M61" i="12"/>
  <c r="L61" i="12" s="1"/>
  <c r="J61" i="12"/>
  <c r="K61" i="12" s="1"/>
  <c r="H61" i="12"/>
  <c r="Q60" i="12"/>
  <c r="M60" i="12"/>
  <c r="L60" i="12" s="1"/>
  <c r="J60" i="12"/>
  <c r="K60" i="12" s="1"/>
  <c r="H60" i="12"/>
  <c r="Q59" i="12"/>
  <c r="M59" i="12"/>
  <c r="L59" i="12" s="1"/>
  <c r="K59" i="12"/>
  <c r="J59" i="12"/>
  <c r="H59" i="12"/>
  <c r="Q58" i="12"/>
  <c r="M58" i="12"/>
  <c r="L58" i="12" s="1"/>
  <c r="J58" i="12"/>
  <c r="K58" i="12" s="1"/>
  <c r="H58" i="12"/>
  <c r="Q57" i="12"/>
  <c r="M57" i="12"/>
  <c r="L57" i="12" s="1"/>
  <c r="J57" i="12"/>
  <c r="K57" i="12" s="1"/>
  <c r="H57" i="12"/>
  <c r="Q56" i="12"/>
  <c r="M56" i="12"/>
  <c r="L56" i="12" s="1"/>
  <c r="J56" i="12"/>
  <c r="K56" i="12" s="1"/>
  <c r="H56" i="12"/>
  <c r="Q55" i="12"/>
  <c r="M55" i="12"/>
  <c r="L55" i="12" s="1"/>
  <c r="K55" i="12"/>
  <c r="J55" i="12"/>
  <c r="H55" i="12"/>
  <c r="Q54" i="12"/>
  <c r="M54" i="12"/>
  <c r="L54" i="12" s="1"/>
  <c r="K54" i="12"/>
  <c r="J54" i="12"/>
  <c r="H54" i="12"/>
  <c r="Q53" i="12"/>
  <c r="M53" i="12"/>
  <c r="L53" i="12" s="1"/>
  <c r="K53" i="12"/>
  <c r="J53" i="12"/>
  <c r="H53" i="12"/>
  <c r="Q52" i="12"/>
  <c r="M52" i="12"/>
  <c r="L52" i="12" s="1"/>
  <c r="J52" i="12"/>
  <c r="K52" i="12" s="1"/>
  <c r="H52" i="12"/>
  <c r="Q51" i="12"/>
  <c r="M51" i="12"/>
  <c r="L51" i="12" s="1"/>
  <c r="K51" i="12"/>
  <c r="J51" i="12"/>
  <c r="H51" i="12"/>
  <c r="Q50" i="12"/>
  <c r="M50" i="12"/>
  <c r="L50" i="12" s="1"/>
  <c r="J50" i="12"/>
  <c r="K50" i="12" s="1"/>
  <c r="H50" i="12"/>
  <c r="Q49" i="12"/>
  <c r="M49" i="12"/>
  <c r="L49" i="12" s="1"/>
  <c r="J49" i="12"/>
  <c r="K49" i="12" s="1"/>
  <c r="H49" i="12"/>
  <c r="Q48" i="12"/>
  <c r="M48" i="12"/>
  <c r="L48" i="12" s="1"/>
  <c r="J48" i="12"/>
  <c r="K48" i="12" s="1"/>
  <c r="H48" i="12"/>
  <c r="Q47" i="12"/>
  <c r="M47" i="12"/>
  <c r="L47" i="12" s="1"/>
  <c r="K47" i="12"/>
  <c r="J47" i="12"/>
  <c r="H47" i="12"/>
  <c r="Q46" i="12"/>
  <c r="M46" i="12"/>
  <c r="L46" i="12" s="1"/>
  <c r="K46" i="12"/>
  <c r="J46" i="12"/>
  <c r="H46" i="12"/>
  <c r="Q45" i="12"/>
  <c r="M45" i="12"/>
  <c r="L45" i="12" s="1"/>
  <c r="K45" i="12"/>
  <c r="J45" i="12"/>
  <c r="H45" i="12"/>
  <c r="Q44" i="12"/>
  <c r="M44" i="12"/>
  <c r="L44" i="12" s="1"/>
  <c r="J44" i="12"/>
  <c r="K44" i="12" s="1"/>
  <c r="H44" i="12"/>
  <c r="Q43" i="12"/>
  <c r="M43" i="12"/>
  <c r="L43" i="12" s="1"/>
  <c r="K43" i="12"/>
  <c r="J43" i="12"/>
  <c r="H43" i="12"/>
  <c r="Q42" i="12"/>
  <c r="M42" i="12"/>
  <c r="L42" i="12" s="1"/>
  <c r="J42" i="12"/>
  <c r="K42" i="12" s="1"/>
  <c r="H42" i="12"/>
  <c r="Q41" i="12"/>
  <c r="M41" i="12"/>
  <c r="L41" i="12" s="1"/>
  <c r="J41" i="12"/>
  <c r="K41" i="12" s="1"/>
  <c r="H41" i="12"/>
  <c r="Q40" i="12"/>
  <c r="M40" i="12"/>
  <c r="L40" i="12" s="1"/>
  <c r="J40" i="12"/>
  <c r="K40" i="12" s="1"/>
  <c r="H40" i="12"/>
  <c r="Q39" i="12"/>
  <c r="M39" i="12"/>
  <c r="L39" i="12" s="1"/>
  <c r="K39" i="12"/>
  <c r="J39" i="12"/>
  <c r="H39" i="12"/>
  <c r="Q38" i="12"/>
  <c r="M38" i="12"/>
  <c r="L38" i="12" s="1"/>
  <c r="K38" i="12"/>
  <c r="J38" i="12"/>
  <c r="H38" i="12"/>
  <c r="Q37" i="12"/>
  <c r="M37" i="12"/>
  <c r="L37" i="12" s="1"/>
  <c r="K37" i="12"/>
  <c r="J37" i="12"/>
  <c r="H37" i="12"/>
  <c r="Q36" i="12"/>
  <c r="M36" i="12"/>
  <c r="L36" i="12" s="1"/>
  <c r="J36" i="12"/>
  <c r="K36" i="12" s="1"/>
  <c r="H36" i="12"/>
  <c r="Q35" i="12"/>
  <c r="M35" i="12"/>
  <c r="L35" i="12" s="1"/>
  <c r="K35" i="12"/>
  <c r="J35" i="12"/>
  <c r="H35" i="12"/>
  <c r="Q34" i="12"/>
  <c r="M34" i="12"/>
  <c r="L34" i="12" s="1"/>
  <c r="J34" i="12"/>
  <c r="K34" i="12" s="1"/>
  <c r="H34" i="12"/>
  <c r="Q33" i="12"/>
  <c r="M33" i="12"/>
  <c r="L33" i="12" s="1"/>
  <c r="J33" i="12"/>
  <c r="K33" i="12" s="1"/>
  <c r="H33" i="12"/>
  <c r="Q32" i="12"/>
  <c r="M32" i="12"/>
  <c r="L32" i="12" s="1"/>
  <c r="J32" i="12"/>
  <c r="K32" i="12" s="1"/>
  <c r="H32" i="12"/>
  <c r="Q31" i="12"/>
  <c r="M31" i="12"/>
  <c r="L31" i="12" s="1"/>
  <c r="K31" i="12"/>
  <c r="J31" i="12"/>
  <c r="H31" i="12"/>
  <c r="Q30" i="12"/>
  <c r="M30" i="12"/>
  <c r="L30" i="12" s="1"/>
  <c r="K30" i="12"/>
  <c r="J30" i="12"/>
  <c r="H30" i="12"/>
  <c r="Q29" i="12"/>
  <c r="M29" i="12"/>
  <c r="L29" i="12" s="1"/>
  <c r="K29" i="12"/>
  <c r="J29" i="12"/>
  <c r="H29" i="12"/>
  <c r="Q28" i="12"/>
  <c r="M28" i="12"/>
  <c r="L28" i="12" s="1"/>
  <c r="J28" i="12"/>
  <c r="K28" i="12" s="1"/>
  <c r="H28" i="12"/>
  <c r="Q27" i="12"/>
  <c r="M27" i="12"/>
  <c r="L27" i="12" s="1"/>
  <c r="K27" i="12"/>
  <c r="J27" i="12"/>
  <c r="H27" i="12"/>
  <c r="Q26" i="12"/>
  <c r="M26" i="12"/>
  <c r="L26" i="12" s="1"/>
  <c r="J26" i="12"/>
  <c r="K26" i="12" s="1"/>
  <c r="H26" i="12"/>
  <c r="Q25" i="12"/>
  <c r="M25" i="12"/>
  <c r="L25" i="12" s="1"/>
  <c r="J25" i="12"/>
  <c r="K25" i="12" s="1"/>
  <c r="H25" i="12"/>
  <c r="Q24" i="12"/>
  <c r="M24" i="12"/>
  <c r="L24" i="12" s="1"/>
  <c r="J24" i="12"/>
  <c r="K24" i="12" s="1"/>
  <c r="H24" i="12"/>
  <c r="Q23" i="12"/>
  <c r="M23" i="12"/>
  <c r="L23" i="12" s="1"/>
  <c r="K23" i="12"/>
  <c r="J23" i="12"/>
  <c r="H23" i="12"/>
  <c r="Q22" i="12"/>
  <c r="M22" i="12"/>
  <c r="L22" i="12" s="1"/>
  <c r="K22" i="12"/>
  <c r="J22" i="12"/>
  <c r="H22" i="12"/>
  <c r="Q21" i="12"/>
  <c r="M21" i="12"/>
  <c r="L21" i="12" s="1"/>
  <c r="K21" i="12"/>
  <c r="J21" i="12"/>
  <c r="H21" i="12"/>
  <c r="Q20" i="12"/>
  <c r="M20" i="12"/>
  <c r="L20" i="12" s="1"/>
  <c r="J20" i="12"/>
  <c r="K20" i="12" s="1"/>
  <c r="H20" i="12"/>
  <c r="Q19" i="12"/>
  <c r="M19" i="12"/>
  <c r="L19" i="12" s="1"/>
  <c r="K19" i="12"/>
  <c r="J19" i="12"/>
  <c r="H19" i="12"/>
  <c r="Q18" i="12"/>
  <c r="M18" i="12"/>
  <c r="L18" i="12" s="1"/>
  <c r="J18" i="12"/>
  <c r="K18" i="12" s="1"/>
  <c r="H18" i="12"/>
  <c r="Q17" i="12"/>
  <c r="M17" i="12"/>
  <c r="L17" i="12" s="1"/>
  <c r="J17" i="12"/>
  <c r="K17" i="12" s="1"/>
  <c r="H17" i="12"/>
  <c r="Q16" i="12"/>
  <c r="M16" i="12"/>
  <c r="L16" i="12" s="1"/>
  <c r="J16" i="12"/>
  <c r="K16" i="12" s="1"/>
  <c r="H16" i="12"/>
  <c r="Q15" i="12"/>
  <c r="M15" i="12"/>
  <c r="L15" i="12" s="1"/>
  <c r="K15" i="12"/>
  <c r="J15" i="12"/>
  <c r="H15" i="12"/>
  <c r="Q14" i="12"/>
  <c r="M14" i="12"/>
  <c r="L14" i="12" s="1"/>
  <c r="K14" i="12"/>
  <c r="J14" i="12"/>
  <c r="H14" i="12"/>
  <c r="Q13" i="12"/>
  <c r="M13" i="12"/>
  <c r="L13" i="12" s="1"/>
  <c r="K13" i="12"/>
  <c r="J13" i="12"/>
  <c r="H13" i="12"/>
  <c r="Q12" i="12"/>
  <c r="M12" i="12"/>
  <c r="L12" i="12" s="1"/>
  <c r="J12" i="12"/>
  <c r="K12" i="12" s="1"/>
  <c r="H12" i="12"/>
  <c r="Q11" i="12"/>
  <c r="M11" i="12"/>
  <c r="L11" i="12" s="1"/>
  <c r="K11" i="12"/>
  <c r="J11" i="12"/>
  <c r="H11" i="12"/>
  <c r="Q10" i="12"/>
  <c r="M10" i="12"/>
  <c r="L10" i="12" s="1"/>
  <c r="J10" i="12"/>
  <c r="K10" i="12" s="1"/>
  <c r="H10" i="12"/>
  <c r="Q9" i="12"/>
  <c r="M9" i="12"/>
  <c r="L9" i="12" s="1"/>
  <c r="J9" i="12"/>
  <c r="K9" i="12" s="1"/>
  <c r="H9" i="12"/>
  <c r="Q8" i="12"/>
  <c r="M8" i="12"/>
  <c r="L8" i="12" s="1"/>
  <c r="J8" i="12"/>
  <c r="K8" i="12" s="1"/>
  <c r="H8" i="12"/>
  <c r="Q7" i="12"/>
  <c r="M7" i="12"/>
  <c r="L7" i="12" s="1"/>
  <c r="K7" i="12"/>
  <c r="J7" i="12"/>
  <c r="H7" i="12"/>
  <c r="Q6" i="12"/>
  <c r="M6" i="12"/>
  <c r="L6" i="12" s="1"/>
  <c r="K6" i="12"/>
  <c r="J6" i="12"/>
  <c r="H6" i="12"/>
  <c r="Q5" i="12"/>
  <c r="M5" i="12"/>
  <c r="L5" i="12" s="1"/>
  <c r="K5" i="12"/>
  <c r="J5" i="12"/>
  <c r="H5" i="12"/>
  <c r="Q4" i="12"/>
  <c r="M4" i="12"/>
  <c r="L4" i="12"/>
  <c r="J4" i="12"/>
  <c r="K4" i="12" s="1"/>
  <c r="H4" i="12"/>
  <c r="Q3" i="12"/>
  <c r="V2" i="12" s="1"/>
  <c r="M3" i="12"/>
  <c r="L3" i="12"/>
  <c r="J3" i="12"/>
  <c r="K3" i="12" s="1"/>
  <c r="H3" i="12"/>
  <c r="Q2" i="12"/>
  <c r="M2" i="12"/>
  <c r="L2" i="12" s="1"/>
  <c r="J2" i="12"/>
  <c r="K2" i="12" s="1"/>
  <c r="H2" i="12"/>
  <c r="Q71" i="11"/>
  <c r="M71" i="11"/>
  <c r="L71" i="11" s="1"/>
  <c r="K71" i="11"/>
  <c r="J71" i="11"/>
  <c r="H71" i="11"/>
  <c r="Q70" i="11"/>
  <c r="M70" i="11"/>
  <c r="L70" i="11" s="1"/>
  <c r="K70" i="11"/>
  <c r="J70" i="11"/>
  <c r="H70" i="11"/>
  <c r="Q69" i="11"/>
  <c r="M69" i="11"/>
  <c r="L69" i="11" s="1"/>
  <c r="K69" i="11"/>
  <c r="J69" i="11"/>
  <c r="H69" i="11"/>
  <c r="Q68" i="11"/>
  <c r="M68" i="11"/>
  <c r="L68" i="11" s="1"/>
  <c r="J68" i="11"/>
  <c r="K68" i="11" s="1"/>
  <c r="H68" i="11"/>
  <c r="Q67" i="11"/>
  <c r="M67" i="11"/>
  <c r="L67" i="11" s="1"/>
  <c r="K67" i="11"/>
  <c r="J67" i="11"/>
  <c r="H67" i="11"/>
  <c r="Q66" i="11"/>
  <c r="M66" i="11"/>
  <c r="L66" i="11" s="1"/>
  <c r="J66" i="11"/>
  <c r="K66" i="11" s="1"/>
  <c r="H66" i="11"/>
  <c r="Q65" i="11"/>
  <c r="M65" i="11"/>
  <c r="L65" i="11" s="1"/>
  <c r="J65" i="11"/>
  <c r="K65" i="11" s="1"/>
  <c r="H65" i="11"/>
  <c r="Q64" i="11"/>
  <c r="M64" i="11"/>
  <c r="L64" i="11" s="1"/>
  <c r="J64" i="11"/>
  <c r="K64" i="11" s="1"/>
  <c r="H64" i="11"/>
  <c r="Q63" i="11"/>
  <c r="M63" i="11"/>
  <c r="L63" i="11" s="1"/>
  <c r="K63" i="11"/>
  <c r="J63" i="11"/>
  <c r="H63" i="11"/>
  <c r="Q62" i="11"/>
  <c r="M62" i="11"/>
  <c r="L62" i="11" s="1"/>
  <c r="K62" i="11"/>
  <c r="J62" i="11"/>
  <c r="H62" i="11"/>
  <c r="Q61" i="11"/>
  <c r="M61" i="11"/>
  <c r="L61" i="11" s="1"/>
  <c r="K61" i="11"/>
  <c r="J61" i="11"/>
  <c r="H61" i="11"/>
  <c r="Q60" i="11"/>
  <c r="M60" i="11"/>
  <c r="L60" i="11" s="1"/>
  <c r="J60" i="11"/>
  <c r="K60" i="11" s="1"/>
  <c r="H60" i="11"/>
  <c r="Q59" i="11"/>
  <c r="M59" i="11"/>
  <c r="L59" i="11" s="1"/>
  <c r="K59" i="11"/>
  <c r="J59" i="11"/>
  <c r="H59" i="11"/>
  <c r="Q58" i="11"/>
  <c r="M58" i="11"/>
  <c r="L58" i="11" s="1"/>
  <c r="J58" i="11"/>
  <c r="K58" i="11" s="1"/>
  <c r="H58" i="11"/>
  <c r="Q57" i="11"/>
  <c r="M57" i="11"/>
  <c r="L57" i="11" s="1"/>
  <c r="J57" i="11"/>
  <c r="K57" i="11" s="1"/>
  <c r="H57" i="11"/>
  <c r="Q56" i="11"/>
  <c r="M56" i="11"/>
  <c r="L56" i="11" s="1"/>
  <c r="J56" i="11"/>
  <c r="K56" i="11" s="1"/>
  <c r="H56" i="11"/>
  <c r="Q55" i="11"/>
  <c r="M55" i="11"/>
  <c r="L55" i="11" s="1"/>
  <c r="K55" i="11"/>
  <c r="J55" i="11"/>
  <c r="H55" i="11"/>
  <c r="Q54" i="11"/>
  <c r="M54" i="11"/>
  <c r="L54" i="11" s="1"/>
  <c r="K54" i="11"/>
  <c r="J54" i="11"/>
  <c r="H54" i="11"/>
  <c r="Q53" i="11"/>
  <c r="M53" i="11"/>
  <c r="L53" i="11" s="1"/>
  <c r="K53" i="11"/>
  <c r="J53" i="11"/>
  <c r="H53" i="11"/>
  <c r="Q52" i="11"/>
  <c r="M52" i="11"/>
  <c r="L52" i="11" s="1"/>
  <c r="J52" i="11"/>
  <c r="K52" i="11" s="1"/>
  <c r="H52" i="11"/>
  <c r="Q51" i="11"/>
  <c r="M51" i="11"/>
  <c r="L51" i="11" s="1"/>
  <c r="K51" i="11"/>
  <c r="J51" i="11"/>
  <c r="H51" i="11"/>
  <c r="Q50" i="11"/>
  <c r="M50" i="11"/>
  <c r="L50" i="11" s="1"/>
  <c r="J50" i="11"/>
  <c r="K50" i="11" s="1"/>
  <c r="H50" i="11"/>
  <c r="Q49" i="11"/>
  <c r="M49" i="11"/>
  <c r="L49" i="11" s="1"/>
  <c r="J49" i="11"/>
  <c r="K49" i="11" s="1"/>
  <c r="H49" i="11"/>
  <c r="Q48" i="11"/>
  <c r="M48" i="11"/>
  <c r="L48" i="11" s="1"/>
  <c r="J48" i="11"/>
  <c r="K48" i="11" s="1"/>
  <c r="H48" i="11"/>
  <c r="Q47" i="11"/>
  <c r="M47" i="11"/>
  <c r="L47" i="11" s="1"/>
  <c r="K47" i="11"/>
  <c r="J47" i="11"/>
  <c r="H47" i="11"/>
  <c r="Q46" i="11"/>
  <c r="M46" i="11"/>
  <c r="L46" i="11" s="1"/>
  <c r="K46" i="11"/>
  <c r="J46" i="11"/>
  <c r="H46" i="11"/>
  <c r="Q45" i="11"/>
  <c r="M45" i="11"/>
  <c r="L45" i="11" s="1"/>
  <c r="K45" i="11"/>
  <c r="J45" i="11"/>
  <c r="H45" i="11"/>
  <c r="Q44" i="11"/>
  <c r="M44" i="11"/>
  <c r="L44" i="11" s="1"/>
  <c r="J44" i="11"/>
  <c r="K44" i="11" s="1"/>
  <c r="H44" i="11"/>
  <c r="Q43" i="11"/>
  <c r="M43" i="11"/>
  <c r="L43" i="11" s="1"/>
  <c r="K43" i="11"/>
  <c r="J43" i="11"/>
  <c r="H43" i="11"/>
  <c r="Q42" i="11"/>
  <c r="M42" i="11"/>
  <c r="L42" i="11" s="1"/>
  <c r="J42" i="11"/>
  <c r="K42" i="11" s="1"/>
  <c r="H42" i="11"/>
  <c r="Q41" i="11"/>
  <c r="M41" i="11"/>
  <c r="L41" i="11" s="1"/>
  <c r="J41" i="11"/>
  <c r="K41" i="11" s="1"/>
  <c r="H41" i="11"/>
  <c r="Q40" i="11"/>
  <c r="M40" i="11"/>
  <c r="L40" i="11" s="1"/>
  <c r="J40" i="11"/>
  <c r="K40" i="11" s="1"/>
  <c r="H40" i="11"/>
  <c r="Q39" i="11"/>
  <c r="M39" i="11"/>
  <c r="L39" i="11" s="1"/>
  <c r="K39" i="11"/>
  <c r="J39" i="11"/>
  <c r="H39" i="11"/>
  <c r="Q38" i="11"/>
  <c r="M38" i="11"/>
  <c r="L38" i="11" s="1"/>
  <c r="K38" i="11"/>
  <c r="J38" i="11"/>
  <c r="H38" i="11"/>
  <c r="Q37" i="11"/>
  <c r="M37" i="11"/>
  <c r="L37" i="11" s="1"/>
  <c r="K37" i="11"/>
  <c r="J37" i="11"/>
  <c r="H37" i="11"/>
  <c r="Q36" i="11"/>
  <c r="M36" i="11"/>
  <c r="L36" i="11" s="1"/>
  <c r="J36" i="11"/>
  <c r="K36" i="11" s="1"/>
  <c r="H36" i="11"/>
  <c r="Q35" i="11"/>
  <c r="M35" i="11"/>
  <c r="L35" i="11" s="1"/>
  <c r="K35" i="11"/>
  <c r="J35" i="11"/>
  <c r="H35" i="11"/>
  <c r="Q34" i="11"/>
  <c r="M34" i="11"/>
  <c r="L34" i="11" s="1"/>
  <c r="J34" i="11"/>
  <c r="K34" i="11" s="1"/>
  <c r="H34" i="11"/>
  <c r="Q33" i="11"/>
  <c r="M33" i="11"/>
  <c r="L33" i="11" s="1"/>
  <c r="J33" i="11"/>
  <c r="K33" i="11" s="1"/>
  <c r="H33" i="11"/>
  <c r="Q32" i="11"/>
  <c r="M32" i="11"/>
  <c r="L32" i="11" s="1"/>
  <c r="J32" i="11"/>
  <c r="K32" i="11" s="1"/>
  <c r="H32" i="11"/>
  <c r="Q31" i="11"/>
  <c r="M31" i="11"/>
  <c r="L31" i="11" s="1"/>
  <c r="K31" i="11"/>
  <c r="J31" i="11"/>
  <c r="H31" i="11"/>
  <c r="Q30" i="11"/>
  <c r="M30" i="11"/>
  <c r="L30" i="11" s="1"/>
  <c r="K30" i="11"/>
  <c r="J30" i="11"/>
  <c r="H30" i="11"/>
  <c r="Q29" i="11"/>
  <c r="M29" i="11"/>
  <c r="L29" i="11" s="1"/>
  <c r="K29" i="11"/>
  <c r="J29" i="11"/>
  <c r="H29" i="11"/>
  <c r="Q28" i="11"/>
  <c r="M28" i="11"/>
  <c r="L28" i="11" s="1"/>
  <c r="J28" i="11"/>
  <c r="K28" i="11" s="1"/>
  <c r="H28" i="11"/>
  <c r="Q27" i="11"/>
  <c r="M27" i="11"/>
  <c r="L27" i="11" s="1"/>
  <c r="K27" i="11"/>
  <c r="J27" i="11"/>
  <c r="H27" i="11"/>
  <c r="Q26" i="11"/>
  <c r="M26" i="11"/>
  <c r="L26" i="11" s="1"/>
  <c r="J26" i="11"/>
  <c r="K26" i="11" s="1"/>
  <c r="H26" i="11"/>
  <c r="Q25" i="11"/>
  <c r="M25" i="11"/>
  <c r="L25" i="11" s="1"/>
  <c r="J25" i="11"/>
  <c r="K25" i="11" s="1"/>
  <c r="H25" i="11"/>
  <c r="Q24" i="11"/>
  <c r="M24" i="11"/>
  <c r="L24" i="11" s="1"/>
  <c r="J24" i="11"/>
  <c r="K24" i="11" s="1"/>
  <c r="H24" i="11"/>
  <c r="Q23" i="11"/>
  <c r="M23" i="11"/>
  <c r="L23" i="11" s="1"/>
  <c r="K23" i="11"/>
  <c r="J23" i="11"/>
  <c r="H23" i="11"/>
  <c r="Q22" i="11"/>
  <c r="M22" i="11"/>
  <c r="L22" i="11" s="1"/>
  <c r="K22" i="11"/>
  <c r="J22" i="11"/>
  <c r="H22" i="11"/>
  <c r="Q21" i="11"/>
  <c r="M21" i="11"/>
  <c r="L21" i="11" s="1"/>
  <c r="K21" i="11"/>
  <c r="J21" i="11"/>
  <c r="H21" i="11"/>
  <c r="Q20" i="11"/>
  <c r="M20" i="11"/>
  <c r="L20" i="11" s="1"/>
  <c r="J20" i="11"/>
  <c r="K20" i="11" s="1"/>
  <c r="H20" i="11"/>
  <c r="Q19" i="11"/>
  <c r="M19" i="11"/>
  <c r="L19" i="11" s="1"/>
  <c r="K19" i="11"/>
  <c r="J19" i="11"/>
  <c r="H19" i="11"/>
  <c r="Q18" i="11"/>
  <c r="M18" i="11"/>
  <c r="L18" i="11" s="1"/>
  <c r="J18" i="11"/>
  <c r="K18" i="11" s="1"/>
  <c r="H18" i="11"/>
  <c r="Q17" i="11"/>
  <c r="M17" i="11"/>
  <c r="L17" i="11" s="1"/>
  <c r="J17" i="11"/>
  <c r="K17" i="11" s="1"/>
  <c r="H17" i="11"/>
  <c r="Q16" i="11"/>
  <c r="M16" i="11"/>
  <c r="L16" i="11" s="1"/>
  <c r="J16" i="11"/>
  <c r="K16" i="11" s="1"/>
  <c r="H16" i="11"/>
  <c r="Q15" i="11"/>
  <c r="M15" i="11"/>
  <c r="L15" i="11" s="1"/>
  <c r="K15" i="11"/>
  <c r="J15" i="11"/>
  <c r="H15" i="11"/>
  <c r="Q14" i="11"/>
  <c r="M14" i="11"/>
  <c r="L14" i="11" s="1"/>
  <c r="K14" i="11"/>
  <c r="J14" i="11"/>
  <c r="H14" i="11"/>
  <c r="Q13" i="11"/>
  <c r="M13" i="11"/>
  <c r="L13" i="11" s="1"/>
  <c r="K13" i="11"/>
  <c r="J13" i="11"/>
  <c r="H13" i="11"/>
  <c r="Q12" i="11"/>
  <c r="M12" i="11"/>
  <c r="L12" i="11" s="1"/>
  <c r="J12" i="11"/>
  <c r="K12" i="11" s="1"/>
  <c r="H12" i="11"/>
  <c r="Q11" i="11"/>
  <c r="M11" i="11"/>
  <c r="L11" i="11" s="1"/>
  <c r="K11" i="11"/>
  <c r="J11" i="11"/>
  <c r="H11" i="11"/>
  <c r="Q10" i="11"/>
  <c r="M10" i="11"/>
  <c r="L10" i="11" s="1"/>
  <c r="J10" i="11"/>
  <c r="K10" i="11" s="1"/>
  <c r="H10" i="11"/>
  <c r="Q9" i="11"/>
  <c r="M9" i="11"/>
  <c r="L9" i="11" s="1"/>
  <c r="J9" i="11"/>
  <c r="K9" i="11" s="1"/>
  <c r="H9" i="11"/>
  <c r="Q8" i="11"/>
  <c r="M8" i="11"/>
  <c r="L8" i="11" s="1"/>
  <c r="J8" i="11"/>
  <c r="K8" i="11" s="1"/>
  <c r="H8" i="11"/>
  <c r="Q7" i="11"/>
  <c r="M7" i="11"/>
  <c r="L7" i="11" s="1"/>
  <c r="K7" i="11"/>
  <c r="J7" i="11"/>
  <c r="H7" i="11"/>
  <c r="Q6" i="11"/>
  <c r="M6" i="11"/>
  <c r="L6" i="11" s="1"/>
  <c r="K6" i="11"/>
  <c r="J6" i="11"/>
  <c r="H6" i="11"/>
  <c r="Q5" i="11"/>
  <c r="M5" i="11"/>
  <c r="L5" i="11" s="1"/>
  <c r="K5" i="11"/>
  <c r="J5" i="11"/>
  <c r="H5" i="11"/>
  <c r="Q4" i="11"/>
  <c r="M4" i="11"/>
  <c r="L4" i="11"/>
  <c r="J4" i="11"/>
  <c r="K4" i="11" s="1"/>
  <c r="H4" i="11"/>
  <c r="Q3" i="11"/>
  <c r="M3" i="11"/>
  <c r="L3" i="11"/>
  <c r="J3" i="11"/>
  <c r="K3" i="11" s="1"/>
  <c r="H3" i="11"/>
  <c r="Q2" i="11"/>
  <c r="M2" i="11"/>
  <c r="L2" i="11" s="1"/>
  <c r="J2" i="11"/>
  <c r="H2" i="11"/>
  <c r="Q71" i="10"/>
  <c r="M71" i="10"/>
  <c r="L71" i="10" s="1"/>
  <c r="J71" i="10"/>
  <c r="K71" i="10" s="1"/>
  <c r="H71" i="10"/>
  <c r="Q70" i="10"/>
  <c r="M70" i="10"/>
  <c r="L70" i="10" s="1"/>
  <c r="J70" i="10"/>
  <c r="K70" i="10" s="1"/>
  <c r="H70" i="10"/>
  <c r="Q69" i="10"/>
  <c r="M69" i="10"/>
  <c r="L69" i="10" s="1"/>
  <c r="K69" i="10"/>
  <c r="J69" i="10"/>
  <c r="H69" i="10"/>
  <c r="Q68" i="10"/>
  <c r="M68" i="10"/>
  <c r="L68" i="10" s="1"/>
  <c r="K68" i="10"/>
  <c r="J68" i="10"/>
  <c r="H68" i="10"/>
  <c r="Q67" i="10"/>
  <c r="M67" i="10"/>
  <c r="L67" i="10" s="1"/>
  <c r="K67" i="10"/>
  <c r="J67" i="10"/>
  <c r="H67" i="10"/>
  <c r="Q66" i="10"/>
  <c r="M66" i="10"/>
  <c r="L66" i="10" s="1"/>
  <c r="J66" i="10"/>
  <c r="K66" i="10" s="1"/>
  <c r="H66" i="10"/>
  <c r="Q65" i="10"/>
  <c r="M65" i="10"/>
  <c r="L65" i="10" s="1"/>
  <c r="K65" i="10"/>
  <c r="J65" i="10"/>
  <c r="H65" i="10"/>
  <c r="Q64" i="10"/>
  <c r="M64" i="10"/>
  <c r="L64" i="10" s="1"/>
  <c r="J64" i="10"/>
  <c r="K64" i="10" s="1"/>
  <c r="H64" i="10"/>
  <c r="Q63" i="10"/>
  <c r="M63" i="10"/>
  <c r="L63" i="10" s="1"/>
  <c r="J63" i="10"/>
  <c r="K63" i="10" s="1"/>
  <c r="H63" i="10"/>
  <c r="Q62" i="10"/>
  <c r="M62" i="10"/>
  <c r="L62" i="10" s="1"/>
  <c r="J62" i="10"/>
  <c r="K62" i="10" s="1"/>
  <c r="H62" i="10"/>
  <c r="Q61" i="10"/>
  <c r="M61" i="10"/>
  <c r="L61" i="10" s="1"/>
  <c r="K61" i="10"/>
  <c r="J61" i="10"/>
  <c r="H61" i="10"/>
  <c r="Q60" i="10"/>
  <c r="M60" i="10"/>
  <c r="L60" i="10" s="1"/>
  <c r="K60" i="10"/>
  <c r="J60" i="10"/>
  <c r="H60" i="10"/>
  <c r="Q59" i="10"/>
  <c r="M59" i="10"/>
  <c r="L59" i="10" s="1"/>
  <c r="K59" i="10"/>
  <c r="J59" i="10"/>
  <c r="H59" i="10"/>
  <c r="Q58" i="10"/>
  <c r="M58" i="10"/>
  <c r="L58" i="10" s="1"/>
  <c r="J58" i="10"/>
  <c r="K58" i="10" s="1"/>
  <c r="H58" i="10"/>
  <c r="Q57" i="10"/>
  <c r="M57" i="10"/>
  <c r="L57" i="10" s="1"/>
  <c r="K57" i="10"/>
  <c r="J57" i="10"/>
  <c r="H57" i="10"/>
  <c r="Q56" i="10"/>
  <c r="M56" i="10"/>
  <c r="L56" i="10" s="1"/>
  <c r="J56" i="10"/>
  <c r="K56" i="10" s="1"/>
  <c r="H56" i="10"/>
  <c r="Q55" i="10"/>
  <c r="M55" i="10"/>
  <c r="L55" i="10" s="1"/>
  <c r="J55" i="10"/>
  <c r="K55" i="10" s="1"/>
  <c r="H55" i="10"/>
  <c r="Q54" i="10"/>
  <c r="M54" i="10"/>
  <c r="L54" i="10" s="1"/>
  <c r="J54" i="10"/>
  <c r="K54" i="10" s="1"/>
  <c r="H54" i="10"/>
  <c r="Q53" i="10"/>
  <c r="M53" i="10"/>
  <c r="L53" i="10" s="1"/>
  <c r="K53" i="10"/>
  <c r="J53" i="10"/>
  <c r="H53" i="10"/>
  <c r="Q52" i="10"/>
  <c r="M52" i="10"/>
  <c r="L52" i="10" s="1"/>
  <c r="K52" i="10"/>
  <c r="J52" i="10"/>
  <c r="H52" i="10"/>
  <c r="Q51" i="10"/>
  <c r="M51" i="10"/>
  <c r="L51" i="10" s="1"/>
  <c r="K51" i="10"/>
  <c r="J51" i="10"/>
  <c r="H51" i="10"/>
  <c r="Q50" i="10"/>
  <c r="M50" i="10"/>
  <c r="L50" i="10" s="1"/>
  <c r="J50" i="10"/>
  <c r="K50" i="10" s="1"/>
  <c r="H50" i="10"/>
  <c r="Q49" i="10"/>
  <c r="M49" i="10"/>
  <c r="L49" i="10" s="1"/>
  <c r="K49" i="10"/>
  <c r="J49" i="10"/>
  <c r="H49" i="10"/>
  <c r="Q48" i="10"/>
  <c r="M48" i="10"/>
  <c r="L48" i="10" s="1"/>
  <c r="J48" i="10"/>
  <c r="K48" i="10" s="1"/>
  <c r="H48" i="10"/>
  <c r="Q47" i="10"/>
  <c r="M47" i="10"/>
  <c r="L47" i="10" s="1"/>
  <c r="J47" i="10"/>
  <c r="K47" i="10" s="1"/>
  <c r="H47" i="10"/>
  <c r="Q46" i="10"/>
  <c r="M46" i="10"/>
  <c r="L46" i="10" s="1"/>
  <c r="J46" i="10"/>
  <c r="K46" i="10" s="1"/>
  <c r="H46" i="10"/>
  <c r="Q45" i="10"/>
  <c r="M45" i="10"/>
  <c r="L45" i="10" s="1"/>
  <c r="K45" i="10"/>
  <c r="J45" i="10"/>
  <c r="H45" i="10"/>
  <c r="Q44" i="10"/>
  <c r="M44" i="10"/>
  <c r="L44" i="10" s="1"/>
  <c r="K44" i="10"/>
  <c r="J44" i="10"/>
  <c r="H44" i="10"/>
  <c r="Q43" i="10"/>
  <c r="M43" i="10"/>
  <c r="L43" i="10" s="1"/>
  <c r="K43" i="10"/>
  <c r="J43" i="10"/>
  <c r="H43" i="10"/>
  <c r="Q42" i="10"/>
  <c r="M42" i="10"/>
  <c r="L42" i="10" s="1"/>
  <c r="J42" i="10"/>
  <c r="K42" i="10" s="1"/>
  <c r="H42" i="10"/>
  <c r="Q41" i="10"/>
  <c r="M41" i="10"/>
  <c r="L41" i="10" s="1"/>
  <c r="K41" i="10"/>
  <c r="J41" i="10"/>
  <c r="H41" i="10"/>
  <c r="Q40" i="10"/>
  <c r="M40" i="10"/>
  <c r="L40" i="10" s="1"/>
  <c r="J40" i="10"/>
  <c r="K40" i="10" s="1"/>
  <c r="H40" i="10"/>
  <c r="Q39" i="10"/>
  <c r="M39" i="10"/>
  <c r="L39" i="10" s="1"/>
  <c r="J39" i="10"/>
  <c r="K39" i="10" s="1"/>
  <c r="H39" i="10"/>
  <c r="Q38" i="10"/>
  <c r="M38" i="10"/>
  <c r="L38" i="10" s="1"/>
  <c r="J38" i="10"/>
  <c r="K38" i="10" s="1"/>
  <c r="H38" i="10"/>
  <c r="Q37" i="10"/>
  <c r="M37" i="10"/>
  <c r="L37" i="10" s="1"/>
  <c r="K37" i="10"/>
  <c r="J37" i="10"/>
  <c r="H37" i="10"/>
  <c r="Q36" i="10"/>
  <c r="M36" i="10"/>
  <c r="L36" i="10" s="1"/>
  <c r="K36" i="10"/>
  <c r="J36" i="10"/>
  <c r="H36" i="10"/>
  <c r="Q35" i="10"/>
  <c r="M35" i="10"/>
  <c r="L35" i="10" s="1"/>
  <c r="K35" i="10"/>
  <c r="J35" i="10"/>
  <c r="H35" i="10"/>
  <c r="Q34" i="10"/>
  <c r="M34" i="10"/>
  <c r="L34" i="10" s="1"/>
  <c r="J34" i="10"/>
  <c r="K34" i="10" s="1"/>
  <c r="H34" i="10"/>
  <c r="Q33" i="10"/>
  <c r="M33" i="10"/>
  <c r="L33" i="10" s="1"/>
  <c r="K33" i="10"/>
  <c r="J33" i="10"/>
  <c r="H33" i="10"/>
  <c r="Q32" i="10"/>
  <c r="M32" i="10"/>
  <c r="L32" i="10" s="1"/>
  <c r="J32" i="10"/>
  <c r="K32" i="10" s="1"/>
  <c r="H32" i="10"/>
  <c r="Q31" i="10"/>
  <c r="M31" i="10"/>
  <c r="L31" i="10" s="1"/>
  <c r="J31" i="10"/>
  <c r="K31" i="10" s="1"/>
  <c r="H31" i="10"/>
  <c r="Q30" i="10"/>
  <c r="M30" i="10"/>
  <c r="L30" i="10" s="1"/>
  <c r="J30" i="10"/>
  <c r="K30" i="10" s="1"/>
  <c r="H30" i="10"/>
  <c r="Q29" i="10"/>
  <c r="M29" i="10"/>
  <c r="L29" i="10" s="1"/>
  <c r="K29" i="10"/>
  <c r="J29" i="10"/>
  <c r="H29" i="10"/>
  <c r="Q28" i="10"/>
  <c r="M28" i="10"/>
  <c r="L28" i="10" s="1"/>
  <c r="K28" i="10"/>
  <c r="J28" i="10"/>
  <c r="H28" i="10"/>
  <c r="Q27" i="10"/>
  <c r="M27" i="10"/>
  <c r="L27" i="10" s="1"/>
  <c r="K27" i="10"/>
  <c r="J27" i="10"/>
  <c r="H27" i="10"/>
  <c r="Q26" i="10"/>
  <c r="M26" i="10"/>
  <c r="L26" i="10" s="1"/>
  <c r="J26" i="10"/>
  <c r="K26" i="10" s="1"/>
  <c r="H26" i="10"/>
  <c r="Q25" i="10"/>
  <c r="M25" i="10"/>
  <c r="L25" i="10" s="1"/>
  <c r="K25" i="10"/>
  <c r="J25" i="10"/>
  <c r="H25" i="10"/>
  <c r="Q24" i="10"/>
  <c r="M24" i="10"/>
  <c r="L24" i="10" s="1"/>
  <c r="J24" i="10"/>
  <c r="K24" i="10" s="1"/>
  <c r="H24" i="10"/>
  <c r="Q23" i="10"/>
  <c r="M23" i="10"/>
  <c r="L23" i="10" s="1"/>
  <c r="J23" i="10"/>
  <c r="K23" i="10" s="1"/>
  <c r="H23" i="10"/>
  <c r="Q22" i="10"/>
  <c r="M22" i="10"/>
  <c r="L22" i="10" s="1"/>
  <c r="J22" i="10"/>
  <c r="K22" i="10" s="1"/>
  <c r="H22" i="10"/>
  <c r="Q21" i="10"/>
  <c r="M21" i="10"/>
  <c r="L21" i="10" s="1"/>
  <c r="K21" i="10"/>
  <c r="J21" i="10"/>
  <c r="H21" i="10"/>
  <c r="Q20" i="10"/>
  <c r="M20" i="10"/>
  <c r="L20" i="10" s="1"/>
  <c r="K20" i="10"/>
  <c r="J20" i="10"/>
  <c r="H20" i="10"/>
  <c r="Q19" i="10"/>
  <c r="M19" i="10"/>
  <c r="L19" i="10" s="1"/>
  <c r="K19" i="10"/>
  <c r="J19" i="10"/>
  <c r="H19" i="10"/>
  <c r="Q18" i="10"/>
  <c r="M18" i="10"/>
  <c r="L18" i="10" s="1"/>
  <c r="J18" i="10"/>
  <c r="K18" i="10" s="1"/>
  <c r="H18" i="10"/>
  <c r="Q17" i="10"/>
  <c r="M17" i="10"/>
  <c r="L17" i="10" s="1"/>
  <c r="K17" i="10"/>
  <c r="J17" i="10"/>
  <c r="H17" i="10"/>
  <c r="Q16" i="10"/>
  <c r="M16" i="10"/>
  <c r="L16" i="10" s="1"/>
  <c r="J16" i="10"/>
  <c r="K16" i="10" s="1"/>
  <c r="H16" i="10"/>
  <c r="Q15" i="10"/>
  <c r="M15" i="10"/>
  <c r="L15" i="10" s="1"/>
  <c r="J15" i="10"/>
  <c r="K15" i="10" s="1"/>
  <c r="H15" i="10"/>
  <c r="Q14" i="10"/>
  <c r="M14" i="10"/>
  <c r="L14" i="10" s="1"/>
  <c r="J14" i="10"/>
  <c r="K14" i="10" s="1"/>
  <c r="H14" i="10"/>
  <c r="Q13" i="10"/>
  <c r="M13" i="10"/>
  <c r="L13" i="10" s="1"/>
  <c r="K13" i="10"/>
  <c r="J13" i="10"/>
  <c r="H13" i="10"/>
  <c r="Q12" i="10"/>
  <c r="M12" i="10"/>
  <c r="L12" i="10" s="1"/>
  <c r="K12" i="10"/>
  <c r="J12" i="10"/>
  <c r="H12" i="10"/>
  <c r="Q11" i="10"/>
  <c r="M11" i="10"/>
  <c r="L11" i="10" s="1"/>
  <c r="K11" i="10"/>
  <c r="J11" i="10"/>
  <c r="H11" i="10"/>
  <c r="Q10" i="10"/>
  <c r="M10" i="10"/>
  <c r="L10" i="10" s="1"/>
  <c r="J10" i="10"/>
  <c r="K10" i="10" s="1"/>
  <c r="H10" i="10"/>
  <c r="Q9" i="10"/>
  <c r="M9" i="10"/>
  <c r="L9" i="10" s="1"/>
  <c r="K9" i="10"/>
  <c r="J9" i="10"/>
  <c r="H9" i="10"/>
  <c r="Q8" i="10"/>
  <c r="M8" i="10"/>
  <c r="L8" i="10" s="1"/>
  <c r="J8" i="10"/>
  <c r="K8" i="10" s="1"/>
  <c r="H8" i="10"/>
  <c r="Q7" i="10"/>
  <c r="M7" i="10"/>
  <c r="L7" i="10" s="1"/>
  <c r="J7" i="10"/>
  <c r="K7" i="10" s="1"/>
  <c r="H7" i="10"/>
  <c r="Q6" i="10"/>
  <c r="M6" i="10"/>
  <c r="L6" i="10" s="1"/>
  <c r="J6" i="10"/>
  <c r="K6" i="10" s="1"/>
  <c r="H6" i="10"/>
  <c r="Q5" i="10"/>
  <c r="M5" i="10"/>
  <c r="L5" i="10" s="1"/>
  <c r="K5" i="10"/>
  <c r="J5" i="10"/>
  <c r="H5" i="10"/>
  <c r="Q4" i="10"/>
  <c r="M4" i="10"/>
  <c r="L4" i="10" s="1"/>
  <c r="J4" i="10"/>
  <c r="K4" i="10" s="1"/>
  <c r="H4" i="10"/>
  <c r="Q3" i="10"/>
  <c r="M3" i="10"/>
  <c r="L3" i="10"/>
  <c r="J3" i="10"/>
  <c r="K3" i="10" s="1"/>
  <c r="H3" i="10"/>
  <c r="Q2" i="10"/>
  <c r="M2" i="10"/>
  <c r="L2" i="10" s="1"/>
  <c r="J2" i="10"/>
  <c r="H2" i="10"/>
  <c r="Q71" i="9"/>
  <c r="M71" i="9"/>
  <c r="L71" i="9" s="1"/>
  <c r="J71" i="9"/>
  <c r="K71" i="9" s="1"/>
  <c r="H71" i="9"/>
  <c r="Q70" i="9"/>
  <c r="M70" i="9"/>
  <c r="L70" i="9" s="1"/>
  <c r="J70" i="9"/>
  <c r="K70" i="9" s="1"/>
  <c r="H70" i="9"/>
  <c r="Q69" i="9"/>
  <c r="M69" i="9"/>
  <c r="L69" i="9" s="1"/>
  <c r="K69" i="9"/>
  <c r="J69" i="9"/>
  <c r="H69" i="9"/>
  <c r="Q68" i="9"/>
  <c r="M68" i="9"/>
  <c r="L68" i="9" s="1"/>
  <c r="K68" i="9"/>
  <c r="J68" i="9"/>
  <c r="H68" i="9"/>
  <c r="Q67" i="9"/>
  <c r="M67" i="9"/>
  <c r="L67" i="9" s="1"/>
  <c r="K67" i="9"/>
  <c r="J67" i="9"/>
  <c r="H67" i="9"/>
  <c r="Q66" i="9"/>
  <c r="M66" i="9"/>
  <c r="L66" i="9" s="1"/>
  <c r="J66" i="9"/>
  <c r="K66" i="9" s="1"/>
  <c r="H66" i="9"/>
  <c r="Q65" i="9"/>
  <c r="M65" i="9"/>
  <c r="L65" i="9" s="1"/>
  <c r="K65" i="9"/>
  <c r="J65" i="9"/>
  <c r="H65" i="9"/>
  <c r="Q64" i="9"/>
  <c r="M64" i="9"/>
  <c r="L64" i="9" s="1"/>
  <c r="J64" i="9"/>
  <c r="K64" i="9" s="1"/>
  <c r="H64" i="9"/>
  <c r="Q63" i="9"/>
  <c r="M63" i="9"/>
  <c r="L63" i="9" s="1"/>
  <c r="J63" i="9"/>
  <c r="K63" i="9" s="1"/>
  <c r="H63" i="9"/>
  <c r="Q62" i="9"/>
  <c r="M62" i="9"/>
  <c r="L62" i="9" s="1"/>
  <c r="J62" i="9"/>
  <c r="K62" i="9" s="1"/>
  <c r="H62" i="9"/>
  <c r="Q61" i="9"/>
  <c r="M61" i="9"/>
  <c r="L61" i="9" s="1"/>
  <c r="K61" i="9"/>
  <c r="J61" i="9"/>
  <c r="H61" i="9"/>
  <c r="Q60" i="9"/>
  <c r="M60" i="9"/>
  <c r="L60" i="9" s="1"/>
  <c r="K60" i="9"/>
  <c r="J60" i="9"/>
  <c r="H60" i="9"/>
  <c r="Q59" i="9"/>
  <c r="M59" i="9"/>
  <c r="L59" i="9" s="1"/>
  <c r="K59" i="9"/>
  <c r="J59" i="9"/>
  <c r="H59" i="9"/>
  <c r="Q58" i="9"/>
  <c r="M58" i="9"/>
  <c r="L58" i="9" s="1"/>
  <c r="J58" i="9"/>
  <c r="K58" i="9" s="1"/>
  <c r="H58" i="9"/>
  <c r="Q57" i="9"/>
  <c r="M57" i="9"/>
  <c r="L57" i="9" s="1"/>
  <c r="K57" i="9"/>
  <c r="J57" i="9"/>
  <c r="H57" i="9"/>
  <c r="Q56" i="9"/>
  <c r="M56" i="9"/>
  <c r="L56" i="9" s="1"/>
  <c r="J56" i="9"/>
  <c r="K56" i="9" s="1"/>
  <c r="H56" i="9"/>
  <c r="Q55" i="9"/>
  <c r="M55" i="9"/>
  <c r="L55" i="9" s="1"/>
  <c r="J55" i="9"/>
  <c r="K55" i="9" s="1"/>
  <c r="H55" i="9"/>
  <c r="Q54" i="9"/>
  <c r="M54" i="9"/>
  <c r="L54" i="9" s="1"/>
  <c r="J54" i="9"/>
  <c r="K54" i="9" s="1"/>
  <c r="H54" i="9"/>
  <c r="Q53" i="9"/>
  <c r="M53" i="9"/>
  <c r="L53" i="9" s="1"/>
  <c r="K53" i="9"/>
  <c r="J53" i="9"/>
  <c r="H53" i="9"/>
  <c r="Q52" i="9"/>
  <c r="M52" i="9"/>
  <c r="L52" i="9" s="1"/>
  <c r="K52" i="9"/>
  <c r="J52" i="9"/>
  <c r="H52" i="9"/>
  <c r="Q51" i="9"/>
  <c r="M51" i="9"/>
  <c r="L51" i="9" s="1"/>
  <c r="K51" i="9"/>
  <c r="J51" i="9"/>
  <c r="H51" i="9"/>
  <c r="Q50" i="9"/>
  <c r="M50" i="9"/>
  <c r="L50" i="9" s="1"/>
  <c r="J50" i="9"/>
  <c r="K50" i="9" s="1"/>
  <c r="H50" i="9"/>
  <c r="Q49" i="9"/>
  <c r="M49" i="9"/>
  <c r="L49" i="9" s="1"/>
  <c r="K49" i="9"/>
  <c r="J49" i="9"/>
  <c r="H49" i="9"/>
  <c r="Q48" i="9"/>
  <c r="M48" i="9"/>
  <c r="L48" i="9" s="1"/>
  <c r="J48" i="9"/>
  <c r="K48" i="9" s="1"/>
  <c r="H48" i="9"/>
  <c r="Q47" i="9"/>
  <c r="M47" i="9"/>
  <c r="L47" i="9" s="1"/>
  <c r="J47" i="9"/>
  <c r="K47" i="9" s="1"/>
  <c r="H47" i="9"/>
  <c r="Q46" i="9"/>
  <c r="M46" i="9"/>
  <c r="L46" i="9" s="1"/>
  <c r="J46" i="9"/>
  <c r="K46" i="9" s="1"/>
  <c r="H46" i="9"/>
  <c r="Q45" i="9"/>
  <c r="M45" i="9"/>
  <c r="L45" i="9" s="1"/>
  <c r="K45" i="9"/>
  <c r="J45" i="9"/>
  <c r="H45" i="9"/>
  <c r="Q44" i="9"/>
  <c r="M44" i="9"/>
  <c r="L44" i="9" s="1"/>
  <c r="K44" i="9"/>
  <c r="J44" i="9"/>
  <c r="H44" i="9"/>
  <c r="Q43" i="9"/>
  <c r="M43" i="9"/>
  <c r="L43" i="9" s="1"/>
  <c r="K43" i="9"/>
  <c r="J43" i="9"/>
  <c r="H43" i="9"/>
  <c r="Q42" i="9"/>
  <c r="M42" i="9"/>
  <c r="L42" i="9" s="1"/>
  <c r="J42" i="9"/>
  <c r="K42" i="9" s="1"/>
  <c r="H42" i="9"/>
  <c r="Q41" i="9"/>
  <c r="M41" i="9"/>
  <c r="L41" i="9" s="1"/>
  <c r="K41" i="9"/>
  <c r="J41" i="9"/>
  <c r="H41" i="9"/>
  <c r="Q40" i="9"/>
  <c r="M40" i="9"/>
  <c r="L40" i="9" s="1"/>
  <c r="J40" i="9"/>
  <c r="K40" i="9" s="1"/>
  <c r="H40" i="9"/>
  <c r="Q39" i="9"/>
  <c r="M39" i="9"/>
  <c r="L39" i="9" s="1"/>
  <c r="J39" i="9"/>
  <c r="K39" i="9" s="1"/>
  <c r="H39" i="9"/>
  <c r="Q38" i="9"/>
  <c r="M38" i="9"/>
  <c r="L38" i="9" s="1"/>
  <c r="J38" i="9"/>
  <c r="K38" i="9" s="1"/>
  <c r="H38" i="9"/>
  <c r="Q37" i="9"/>
  <c r="M37" i="9"/>
  <c r="L37" i="9" s="1"/>
  <c r="K37" i="9"/>
  <c r="J37" i="9"/>
  <c r="H37" i="9"/>
  <c r="Q36" i="9"/>
  <c r="M36" i="9"/>
  <c r="L36" i="9" s="1"/>
  <c r="K36" i="9"/>
  <c r="J36" i="9"/>
  <c r="H36" i="9"/>
  <c r="Q35" i="9"/>
  <c r="M35" i="9"/>
  <c r="L35" i="9" s="1"/>
  <c r="K35" i="9"/>
  <c r="J35" i="9"/>
  <c r="H35" i="9"/>
  <c r="Q34" i="9"/>
  <c r="M34" i="9"/>
  <c r="L34" i="9" s="1"/>
  <c r="J34" i="9"/>
  <c r="K34" i="9" s="1"/>
  <c r="H34" i="9"/>
  <c r="Q33" i="9"/>
  <c r="M33" i="9"/>
  <c r="L33" i="9" s="1"/>
  <c r="K33" i="9"/>
  <c r="J33" i="9"/>
  <c r="H33" i="9"/>
  <c r="Q32" i="9"/>
  <c r="M32" i="9"/>
  <c r="L32" i="9" s="1"/>
  <c r="J32" i="9"/>
  <c r="K32" i="9" s="1"/>
  <c r="H32" i="9"/>
  <c r="Q31" i="9"/>
  <c r="M31" i="9"/>
  <c r="L31" i="9" s="1"/>
  <c r="J31" i="9"/>
  <c r="K31" i="9" s="1"/>
  <c r="H31" i="9"/>
  <c r="Q30" i="9"/>
  <c r="M30" i="9"/>
  <c r="L30" i="9" s="1"/>
  <c r="J30" i="9"/>
  <c r="K30" i="9" s="1"/>
  <c r="H30" i="9"/>
  <c r="Q29" i="9"/>
  <c r="M29" i="9"/>
  <c r="L29" i="9" s="1"/>
  <c r="K29" i="9"/>
  <c r="J29" i="9"/>
  <c r="H29" i="9"/>
  <c r="Q28" i="9"/>
  <c r="M28" i="9"/>
  <c r="L28" i="9" s="1"/>
  <c r="K28" i="9"/>
  <c r="J28" i="9"/>
  <c r="H28" i="9"/>
  <c r="Q27" i="9"/>
  <c r="M27" i="9"/>
  <c r="L27" i="9" s="1"/>
  <c r="K27" i="9"/>
  <c r="J27" i="9"/>
  <c r="H27" i="9"/>
  <c r="Q26" i="9"/>
  <c r="M26" i="9"/>
  <c r="L26" i="9" s="1"/>
  <c r="J26" i="9"/>
  <c r="K26" i="9" s="1"/>
  <c r="H26" i="9"/>
  <c r="Q25" i="9"/>
  <c r="M25" i="9"/>
  <c r="L25" i="9" s="1"/>
  <c r="K25" i="9"/>
  <c r="J25" i="9"/>
  <c r="H25" i="9"/>
  <c r="Q24" i="9"/>
  <c r="M24" i="9"/>
  <c r="L24" i="9" s="1"/>
  <c r="J24" i="9"/>
  <c r="K24" i="9" s="1"/>
  <c r="H24" i="9"/>
  <c r="Q23" i="9"/>
  <c r="M23" i="9"/>
  <c r="L23" i="9" s="1"/>
  <c r="J23" i="9"/>
  <c r="K23" i="9" s="1"/>
  <c r="H23" i="9"/>
  <c r="Q22" i="9"/>
  <c r="M22" i="9"/>
  <c r="L22" i="9" s="1"/>
  <c r="J22" i="9"/>
  <c r="K22" i="9" s="1"/>
  <c r="H22" i="9"/>
  <c r="Q21" i="9"/>
  <c r="M21" i="9"/>
  <c r="L21" i="9" s="1"/>
  <c r="K21" i="9"/>
  <c r="J21" i="9"/>
  <c r="H21" i="9"/>
  <c r="Q20" i="9"/>
  <c r="M20" i="9"/>
  <c r="L20" i="9" s="1"/>
  <c r="K20" i="9"/>
  <c r="J20" i="9"/>
  <c r="H20" i="9"/>
  <c r="Q19" i="9"/>
  <c r="M19" i="9"/>
  <c r="L19" i="9" s="1"/>
  <c r="K19" i="9"/>
  <c r="J19" i="9"/>
  <c r="H19" i="9"/>
  <c r="Q18" i="9"/>
  <c r="M18" i="9"/>
  <c r="L18" i="9" s="1"/>
  <c r="J18" i="9"/>
  <c r="K18" i="9" s="1"/>
  <c r="H18" i="9"/>
  <c r="Q17" i="9"/>
  <c r="M17" i="9"/>
  <c r="L17" i="9" s="1"/>
  <c r="K17" i="9"/>
  <c r="J17" i="9"/>
  <c r="H17" i="9"/>
  <c r="Q16" i="9"/>
  <c r="M16" i="9"/>
  <c r="L16" i="9" s="1"/>
  <c r="J16" i="9"/>
  <c r="K16" i="9" s="1"/>
  <c r="H16" i="9"/>
  <c r="Q15" i="9"/>
  <c r="M15" i="9"/>
  <c r="L15" i="9" s="1"/>
  <c r="J15" i="9"/>
  <c r="K15" i="9" s="1"/>
  <c r="H15" i="9"/>
  <c r="Q14" i="9"/>
  <c r="M14" i="9"/>
  <c r="L14" i="9" s="1"/>
  <c r="J14" i="9"/>
  <c r="K14" i="9" s="1"/>
  <c r="H14" i="9"/>
  <c r="Q13" i="9"/>
  <c r="M13" i="9"/>
  <c r="L13" i="9" s="1"/>
  <c r="K13" i="9"/>
  <c r="J13" i="9"/>
  <c r="H13" i="9"/>
  <c r="Q12" i="9"/>
  <c r="M12" i="9"/>
  <c r="L12" i="9" s="1"/>
  <c r="K12" i="9"/>
  <c r="J12" i="9"/>
  <c r="H12" i="9"/>
  <c r="Q11" i="9"/>
  <c r="M11" i="9"/>
  <c r="L11" i="9" s="1"/>
  <c r="K11" i="9"/>
  <c r="J11" i="9"/>
  <c r="H11" i="9"/>
  <c r="Q10" i="9"/>
  <c r="M10" i="9"/>
  <c r="L10" i="9" s="1"/>
  <c r="J10" i="9"/>
  <c r="K10" i="9" s="1"/>
  <c r="H10" i="9"/>
  <c r="Q9" i="9"/>
  <c r="M9" i="9"/>
  <c r="L9" i="9" s="1"/>
  <c r="K9" i="9"/>
  <c r="J9" i="9"/>
  <c r="H9" i="9"/>
  <c r="Q8" i="9"/>
  <c r="M8" i="9"/>
  <c r="L8" i="9" s="1"/>
  <c r="J8" i="9"/>
  <c r="K8" i="9" s="1"/>
  <c r="H8" i="9"/>
  <c r="Q7" i="9"/>
  <c r="M7" i="9"/>
  <c r="L7" i="9" s="1"/>
  <c r="J7" i="9"/>
  <c r="K7" i="9" s="1"/>
  <c r="H7" i="9"/>
  <c r="Q6" i="9"/>
  <c r="M6" i="9"/>
  <c r="L6" i="9" s="1"/>
  <c r="J6" i="9"/>
  <c r="K6" i="9" s="1"/>
  <c r="H6" i="9"/>
  <c r="Q5" i="9"/>
  <c r="M5" i="9"/>
  <c r="L5" i="9" s="1"/>
  <c r="K5" i="9"/>
  <c r="J5" i="9"/>
  <c r="H5" i="9"/>
  <c r="Q4" i="9"/>
  <c r="M4" i="9"/>
  <c r="L4" i="9" s="1"/>
  <c r="J4" i="9"/>
  <c r="K4" i="9" s="1"/>
  <c r="H4" i="9"/>
  <c r="Q3" i="9"/>
  <c r="M3" i="9"/>
  <c r="L3" i="9"/>
  <c r="J3" i="9"/>
  <c r="K3" i="9" s="1"/>
  <c r="H3" i="9"/>
  <c r="Q2" i="9"/>
  <c r="M2" i="9"/>
  <c r="L2" i="9" s="1"/>
  <c r="J2" i="9"/>
  <c r="H2" i="9"/>
  <c r="Q71" i="8"/>
  <c r="M71" i="8"/>
  <c r="L71" i="8" s="1"/>
  <c r="K71" i="8"/>
  <c r="J71" i="8"/>
  <c r="H71" i="8"/>
  <c r="Q70" i="8"/>
  <c r="M70" i="8"/>
  <c r="L70" i="8" s="1"/>
  <c r="J70" i="8"/>
  <c r="K70" i="8" s="1"/>
  <c r="H70" i="8"/>
  <c r="Q69" i="8"/>
  <c r="M69" i="8"/>
  <c r="L69" i="8" s="1"/>
  <c r="J69" i="8"/>
  <c r="K69" i="8" s="1"/>
  <c r="H69" i="8"/>
  <c r="Q68" i="8"/>
  <c r="M68" i="8"/>
  <c r="L68" i="8" s="1"/>
  <c r="J68" i="8"/>
  <c r="K68" i="8" s="1"/>
  <c r="H68" i="8"/>
  <c r="Q67" i="8"/>
  <c r="M67" i="8"/>
  <c r="L67" i="8" s="1"/>
  <c r="K67" i="8"/>
  <c r="J67" i="8"/>
  <c r="H67" i="8"/>
  <c r="Q66" i="8"/>
  <c r="M66" i="8"/>
  <c r="L66" i="8" s="1"/>
  <c r="K66" i="8"/>
  <c r="J66" i="8"/>
  <c r="H66" i="8"/>
  <c r="Q65" i="8"/>
  <c r="M65" i="8"/>
  <c r="L65" i="8" s="1"/>
  <c r="K65" i="8"/>
  <c r="J65" i="8"/>
  <c r="H65" i="8"/>
  <c r="Q64" i="8"/>
  <c r="M64" i="8"/>
  <c r="L64" i="8" s="1"/>
  <c r="J64" i="8"/>
  <c r="K64" i="8" s="1"/>
  <c r="H64" i="8"/>
  <c r="Q63" i="8"/>
  <c r="M63" i="8"/>
  <c r="L63" i="8" s="1"/>
  <c r="K63" i="8"/>
  <c r="J63" i="8"/>
  <c r="H63" i="8"/>
  <c r="Q62" i="8"/>
  <c r="M62" i="8"/>
  <c r="L62" i="8" s="1"/>
  <c r="J62" i="8"/>
  <c r="K62" i="8" s="1"/>
  <c r="H62" i="8"/>
  <c r="Q61" i="8"/>
  <c r="M61" i="8"/>
  <c r="L61" i="8" s="1"/>
  <c r="J61" i="8"/>
  <c r="K61" i="8" s="1"/>
  <c r="H61" i="8"/>
  <c r="Q60" i="8"/>
  <c r="M60" i="8"/>
  <c r="L60" i="8" s="1"/>
  <c r="J60" i="8"/>
  <c r="K60" i="8" s="1"/>
  <c r="H60" i="8"/>
  <c r="Q59" i="8"/>
  <c r="M59" i="8"/>
  <c r="L59" i="8" s="1"/>
  <c r="K59" i="8"/>
  <c r="J59" i="8"/>
  <c r="H59" i="8"/>
  <c r="Q58" i="8"/>
  <c r="M58" i="8"/>
  <c r="L58" i="8" s="1"/>
  <c r="K58" i="8"/>
  <c r="J58" i="8"/>
  <c r="H58" i="8"/>
  <c r="Q57" i="8"/>
  <c r="M57" i="8"/>
  <c r="L57" i="8" s="1"/>
  <c r="K57" i="8"/>
  <c r="J57" i="8"/>
  <c r="H57" i="8"/>
  <c r="Q56" i="8"/>
  <c r="M56" i="8"/>
  <c r="L56" i="8" s="1"/>
  <c r="J56" i="8"/>
  <c r="K56" i="8" s="1"/>
  <c r="H56" i="8"/>
  <c r="Q55" i="8"/>
  <c r="M55" i="8"/>
  <c r="L55" i="8" s="1"/>
  <c r="K55" i="8"/>
  <c r="J55" i="8"/>
  <c r="H55" i="8"/>
  <c r="Q54" i="8"/>
  <c r="M54" i="8"/>
  <c r="L54" i="8" s="1"/>
  <c r="J54" i="8"/>
  <c r="K54" i="8" s="1"/>
  <c r="H54" i="8"/>
  <c r="Q53" i="8"/>
  <c r="M53" i="8"/>
  <c r="L53" i="8" s="1"/>
  <c r="J53" i="8"/>
  <c r="K53" i="8" s="1"/>
  <c r="H53" i="8"/>
  <c r="Q52" i="8"/>
  <c r="M52" i="8"/>
  <c r="L52" i="8" s="1"/>
  <c r="J52" i="8"/>
  <c r="K52" i="8" s="1"/>
  <c r="H52" i="8"/>
  <c r="Q51" i="8"/>
  <c r="M51" i="8"/>
  <c r="L51" i="8" s="1"/>
  <c r="K51" i="8"/>
  <c r="J51" i="8"/>
  <c r="H51" i="8"/>
  <c r="Q50" i="8"/>
  <c r="M50" i="8"/>
  <c r="L50" i="8" s="1"/>
  <c r="K50" i="8"/>
  <c r="J50" i="8"/>
  <c r="H50" i="8"/>
  <c r="Q49" i="8"/>
  <c r="M49" i="8"/>
  <c r="L49" i="8" s="1"/>
  <c r="K49" i="8"/>
  <c r="J49" i="8"/>
  <c r="H49" i="8"/>
  <c r="Q48" i="8"/>
  <c r="M48" i="8"/>
  <c r="L48" i="8" s="1"/>
  <c r="J48" i="8"/>
  <c r="K48" i="8" s="1"/>
  <c r="H48" i="8"/>
  <c r="Q47" i="8"/>
  <c r="M47" i="8"/>
  <c r="L47" i="8" s="1"/>
  <c r="K47" i="8"/>
  <c r="J47" i="8"/>
  <c r="H47" i="8"/>
  <c r="Q46" i="8"/>
  <c r="M46" i="8"/>
  <c r="L46" i="8" s="1"/>
  <c r="J46" i="8"/>
  <c r="K46" i="8" s="1"/>
  <c r="H46" i="8"/>
  <c r="Q45" i="8"/>
  <c r="M45" i="8"/>
  <c r="L45" i="8" s="1"/>
  <c r="J45" i="8"/>
  <c r="K45" i="8" s="1"/>
  <c r="H45" i="8"/>
  <c r="Q44" i="8"/>
  <c r="M44" i="8"/>
  <c r="L44" i="8" s="1"/>
  <c r="J44" i="8"/>
  <c r="K44" i="8" s="1"/>
  <c r="H44" i="8"/>
  <c r="Q43" i="8"/>
  <c r="M43" i="8"/>
  <c r="L43" i="8" s="1"/>
  <c r="K43" i="8"/>
  <c r="J43" i="8"/>
  <c r="H43" i="8"/>
  <c r="Q42" i="8"/>
  <c r="M42" i="8"/>
  <c r="L42" i="8" s="1"/>
  <c r="K42" i="8"/>
  <c r="J42" i="8"/>
  <c r="H42" i="8"/>
  <c r="Q41" i="8"/>
  <c r="M41" i="8"/>
  <c r="L41" i="8" s="1"/>
  <c r="K41" i="8"/>
  <c r="J41" i="8"/>
  <c r="H41" i="8"/>
  <c r="Q40" i="8"/>
  <c r="M40" i="8"/>
  <c r="L40" i="8" s="1"/>
  <c r="J40" i="8"/>
  <c r="K40" i="8" s="1"/>
  <c r="H40" i="8"/>
  <c r="Q39" i="8"/>
  <c r="M39" i="8"/>
  <c r="L39" i="8" s="1"/>
  <c r="K39" i="8"/>
  <c r="J39" i="8"/>
  <c r="H39" i="8"/>
  <c r="Q38" i="8"/>
  <c r="M38" i="8"/>
  <c r="L38" i="8" s="1"/>
  <c r="J38" i="8"/>
  <c r="K38" i="8" s="1"/>
  <c r="H38" i="8"/>
  <c r="Q37" i="8"/>
  <c r="M37" i="8"/>
  <c r="L37" i="8" s="1"/>
  <c r="J37" i="8"/>
  <c r="K37" i="8" s="1"/>
  <c r="H37" i="8"/>
  <c r="Q36" i="8"/>
  <c r="M36" i="8"/>
  <c r="L36" i="8" s="1"/>
  <c r="J36" i="8"/>
  <c r="K36" i="8" s="1"/>
  <c r="H36" i="8"/>
  <c r="Q35" i="8"/>
  <c r="M35" i="8"/>
  <c r="L35" i="8" s="1"/>
  <c r="K35" i="8"/>
  <c r="J35" i="8"/>
  <c r="H35" i="8"/>
  <c r="Q34" i="8"/>
  <c r="M34" i="8"/>
  <c r="L34" i="8" s="1"/>
  <c r="K34" i="8"/>
  <c r="J34" i="8"/>
  <c r="H34" i="8"/>
  <c r="Q33" i="8"/>
  <c r="M33" i="8"/>
  <c r="L33" i="8" s="1"/>
  <c r="K33" i="8"/>
  <c r="J33" i="8"/>
  <c r="H33" i="8"/>
  <c r="Q32" i="8"/>
  <c r="M32" i="8"/>
  <c r="L32" i="8" s="1"/>
  <c r="J32" i="8"/>
  <c r="K32" i="8" s="1"/>
  <c r="H32" i="8"/>
  <c r="Q31" i="8"/>
  <c r="M31" i="8"/>
  <c r="L31" i="8" s="1"/>
  <c r="K31" i="8"/>
  <c r="J31" i="8"/>
  <c r="H31" i="8"/>
  <c r="Q30" i="8"/>
  <c r="M30" i="8"/>
  <c r="L30" i="8" s="1"/>
  <c r="J30" i="8"/>
  <c r="K30" i="8" s="1"/>
  <c r="H30" i="8"/>
  <c r="Q29" i="8"/>
  <c r="M29" i="8"/>
  <c r="L29" i="8" s="1"/>
  <c r="J29" i="8"/>
  <c r="K29" i="8" s="1"/>
  <c r="H29" i="8"/>
  <c r="Q28" i="8"/>
  <c r="M28" i="8"/>
  <c r="L28" i="8" s="1"/>
  <c r="J28" i="8"/>
  <c r="K28" i="8" s="1"/>
  <c r="H28" i="8"/>
  <c r="Q27" i="8"/>
  <c r="M27" i="8"/>
  <c r="L27" i="8" s="1"/>
  <c r="K27" i="8"/>
  <c r="J27" i="8"/>
  <c r="H27" i="8"/>
  <c r="Q26" i="8"/>
  <c r="M26" i="8"/>
  <c r="L26" i="8" s="1"/>
  <c r="K26" i="8"/>
  <c r="J26" i="8"/>
  <c r="H26" i="8"/>
  <c r="Q25" i="8"/>
  <c r="M25" i="8"/>
  <c r="L25" i="8" s="1"/>
  <c r="K25" i="8"/>
  <c r="J25" i="8"/>
  <c r="H25" i="8"/>
  <c r="Q24" i="8"/>
  <c r="M24" i="8"/>
  <c r="L24" i="8" s="1"/>
  <c r="J24" i="8"/>
  <c r="K24" i="8" s="1"/>
  <c r="H24" i="8"/>
  <c r="Q23" i="8"/>
  <c r="M23" i="8"/>
  <c r="L23" i="8" s="1"/>
  <c r="K23" i="8"/>
  <c r="J23" i="8"/>
  <c r="H23" i="8"/>
  <c r="Q22" i="8"/>
  <c r="M22" i="8"/>
  <c r="L22" i="8" s="1"/>
  <c r="J22" i="8"/>
  <c r="K22" i="8" s="1"/>
  <c r="H22" i="8"/>
  <c r="Q21" i="8"/>
  <c r="M21" i="8"/>
  <c r="L21" i="8" s="1"/>
  <c r="J21" i="8"/>
  <c r="K21" i="8" s="1"/>
  <c r="H21" i="8"/>
  <c r="Q20" i="8"/>
  <c r="M20" i="8"/>
  <c r="L20" i="8" s="1"/>
  <c r="J20" i="8"/>
  <c r="K20" i="8" s="1"/>
  <c r="H20" i="8"/>
  <c r="Q19" i="8"/>
  <c r="M19" i="8"/>
  <c r="L19" i="8" s="1"/>
  <c r="K19" i="8"/>
  <c r="J19" i="8"/>
  <c r="H19" i="8"/>
  <c r="Q18" i="8"/>
  <c r="M18" i="8"/>
  <c r="L18" i="8" s="1"/>
  <c r="K18" i="8"/>
  <c r="J18" i="8"/>
  <c r="H18" i="8"/>
  <c r="Q17" i="8"/>
  <c r="M17" i="8"/>
  <c r="L17" i="8" s="1"/>
  <c r="K17" i="8"/>
  <c r="J17" i="8"/>
  <c r="H17" i="8"/>
  <c r="Q16" i="8"/>
  <c r="M16" i="8"/>
  <c r="L16" i="8" s="1"/>
  <c r="J16" i="8"/>
  <c r="K16" i="8" s="1"/>
  <c r="H16" i="8"/>
  <c r="Q15" i="8"/>
  <c r="M15" i="8"/>
  <c r="L15" i="8" s="1"/>
  <c r="K15" i="8"/>
  <c r="J15" i="8"/>
  <c r="H15" i="8"/>
  <c r="Q14" i="8"/>
  <c r="M14" i="8"/>
  <c r="L14" i="8" s="1"/>
  <c r="J14" i="8"/>
  <c r="K14" i="8" s="1"/>
  <c r="H14" i="8"/>
  <c r="Q13" i="8"/>
  <c r="M13" i="8"/>
  <c r="L13" i="8" s="1"/>
  <c r="J13" i="8"/>
  <c r="K13" i="8" s="1"/>
  <c r="H13" i="8"/>
  <c r="Q12" i="8"/>
  <c r="M12" i="8"/>
  <c r="L12" i="8" s="1"/>
  <c r="J12" i="8"/>
  <c r="K12" i="8" s="1"/>
  <c r="H12" i="8"/>
  <c r="Q11" i="8"/>
  <c r="M11" i="8"/>
  <c r="L11" i="8" s="1"/>
  <c r="K11" i="8"/>
  <c r="J11" i="8"/>
  <c r="H11" i="8"/>
  <c r="Q10" i="8"/>
  <c r="M10" i="8"/>
  <c r="L10" i="8" s="1"/>
  <c r="K10" i="8"/>
  <c r="J10" i="8"/>
  <c r="H10" i="8"/>
  <c r="Q9" i="8"/>
  <c r="M9" i="8"/>
  <c r="L9" i="8" s="1"/>
  <c r="K9" i="8"/>
  <c r="J9" i="8"/>
  <c r="H9" i="8"/>
  <c r="Q8" i="8"/>
  <c r="M8" i="8"/>
  <c r="L8" i="8" s="1"/>
  <c r="J8" i="8"/>
  <c r="K8" i="8" s="1"/>
  <c r="H8" i="8"/>
  <c r="Q7" i="8"/>
  <c r="M7" i="8"/>
  <c r="L7" i="8" s="1"/>
  <c r="K7" i="8"/>
  <c r="J7" i="8"/>
  <c r="H7" i="8"/>
  <c r="Q6" i="8"/>
  <c r="M6" i="8"/>
  <c r="L6" i="8" s="1"/>
  <c r="J6" i="8"/>
  <c r="K6" i="8" s="1"/>
  <c r="H6" i="8"/>
  <c r="Q5" i="8"/>
  <c r="V2" i="8" s="1"/>
  <c r="M5" i="8"/>
  <c r="L5" i="8" s="1"/>
  <c r="J5" i="8"/>
  <c r="K5" i="8" s="1"/>
  <c r="H5" i="8"/>
  <c r="Q4" i="8"/>
  <c r="M4" i="8"/>
  <c r="L4" i="8" s="1"/>
  <c r="J4" i="8"/>
  <c r="K4" i="8" s="1"/>
  <c r="H4" i="8"/>
  <c r="Q3" i="8"/>
  <c r="M3" i="8"/>
  <c r="L3" i="8"/>
  <c r="J3" i="8"/>
  <c r="K3" i="8" s="1"/>
  <c r="H3" i="8"/>
  <c r="T2" i="8"/>
  <c r="W2" i="8" s="1"/>
  <c r="X2" i="8" s="1"/>
  <c r="Q2" i="8"/>
  <c r="M2" i="8"/>
  <c r="L2" i="8" s="1"/>
  <c r="J2" i="8"/>
  <c r="H2" i="8"/>
  <c r="Q71" i="7"/>
  <c r="M71" i="7"/>
  <c r="L71" i="7" s="1"/>
  <c r="J71" i="7"/>
  <c r="K71" i="7" s="1"/>
  <c r="H71" i="7"/>
  <c r="Q70" i="7"/>
  <c r="M70" i="7"/>
  <c r="L70" i="7" s="1"/>
  <c r="J70" i="7"/>
  <c r="K70" i="7" s="1"/>
  <c r="H70" i="7"/>
  <c r="Q69" i="7"/>
  <c r="M69" i="7"/>
  <c r="L69" i="7" s="1"/>
  <c r="J69" i="7"/>
  <c r="K69" i="7" s="1"/>
  <c r="H69" i="7"/>
  <c r="Q68" i="7"/>
  <c r="M68" i="7"/>
  <c r="L68" i="7" s="1"/>
  <c r="J68" i="7"/>
  <c r="K68" i="7" s="1"/>
  <c r="H68" i="7"/>
  <c r="Q67" i="7"/>
  <c r="M67" i="7"/>
  <c r="L67" i="7" s="1"/>
  <c r="J67" i="7"/>
  <c r="K67" i="7" s="1"/>
  <c r="H67" i="7"/>
  <c r="Q66" i="7"/>
  <c r="M66" i="7"/>
  <c r="L66" i="7" s="1"/>
  <c r="J66" i="7"/>
  <c r="K66" i="7" s="1"/>
  <c r="H66" i="7"/>
  <c r="Q65" i="7"/>
  <c r="M65" i="7"/>
  <c r="L65" i="7" s="1"/>
  <c r="J65" i="7"/>
  <c r="K65" i="7" s="1"/>
  <c r="H65" i="7"/>
  <c r="Q64" i="7"/>
  <c r="M64" i="7"/>
  <c r="L64" i="7" s="1"/>
  <c r="J64" i="7"/>
  <c r="K64" i="7" s="1"/>
  <c r="H64" i="7"/>
  <c r="Q63" i="7"/>
  <c r="M63" i="7"/>
  <c r="L63" i="7" s="1"/>
  <c r="J63" i="7"/>
  <c r="K63" i="7" s="1"/>
  <c r="H63" i="7"/>
  <c r="Q62" i="7"/>
  <c r="M62" i="7"/>
  <c r="L62" i="7" s="1"/>
  <c r="J62" i="7"/>
  <c r="K62" i="7" s="1"/>
  <c r="H62" i="7"/>
  <c r="Q61" i="7"/>
  <c r="M61" i="7"/>
  <c r="L61" i="7" s="1"/>
  <c r="J61" i="7"/>
  <c r="K61" i="7" s="1"/>
  <c r="H61" i="7"/>
  <c r="Q60" i="7"/>
  <c r="M60" i="7"/>
  <c r="L60" i="7" s="1"/>
  <c r="J60" i="7"/>
  <c r="K60" i="7" s="1"/>
  <c r="H60" i="7"/>
  <c r="Q59" i="7"/>
  <c r="M59" i="7"/>
  <c r="L59" i="7" s="1"/>
  <c r="J59" i="7"/>
  <c r="K59" i="7" s="1"/>
  <c r="H59" i="7"/>
  <c r="Q58" i="7"/>
  <c r="M58" i="7"/>
  <c r="L58" i="7" s="1"/>
  <c r="J58" i="7"/>
  <c r="K58" i="7" s="1"/>
  <c r="H58" i="7"/>
  <c r="Q57" i="7"/>
  <c r="M57" i="7"/>
  <c r="L57" i="7" s="1"/>
  <c r="J57" i="7"/>
  <c r="K57" i="7" s="1"/>
  <c r="H57" i="7"/>
  <c r="Q56" i="7"/>
  <c r="M56" i="7"/>
  <c r="L56" i="7" s="1"/>
  <c r="K56" i="7"/>
  <c r="J56" i="7"/>
  <c r="H56" i="7"/>
  <c r="Q55" i="7"/>
  <c r="M55" i="7"/>
  <c r="L55" i="7" s="1"/>
  <c r="J55" i="7"/>
  <c r="K55" i="7" s="1"/>
  <c r="H55" i="7"/>
  <c r="Q54" i="7"/>
  <c r="M54" i="7"/>
  <c r="L54" i="7" s="1"/>
  <c r="J54" i="7"/>
  <c r="K54" i="7" s="1"/>
  <c r="H54" i="7"/>
  <c r="Q53" i="7"/>
  <c r="M53" i="7"/>
  <c r="L53" i="7" s="1"/>
  <c r="J53" i="7"/>
  <c r="K53" i="7" s="1"/>
  <c r="H53" i="7"/>
  <c r="Q52" i="7"/>
  <c r="M52" i="7"/>
  <c r="L52" i="7" s="1"/>
  <c r="J52" i="7"/>
  <c r="K52" i="7" s="1"/>
  <c r="H52" i="7"/>
  <c r="Q51" i="7"/>
  <c r="M51" i="7"/>
  <c r="L51" i="7" s="1"/>
  <c r="J51" i="7"/>
  <c r="K51" i="7" s="1"/>
  <c r="H51" i="7"/>
  <c r="Q50" i="7"/>
  <c r="M50" i="7"/>
  <c r="L50" i="7" s="1"/>
  <c r="J50" i="7"/>
  <c r="K50" i="7" s="1"/>
  <c r="H50" i="7"/>
  <c r="Q49" i="7"/>
  <c r="M49" i="7"/>
  <c r="L49" i="7" s="1"/>
  <c r="J49" i="7"/>
  <c r="K49" i="7" s="1"/>
  <c r="H49" i="7"/>
  <c r="Q48" i="7"/>
  <c r="M48" i="7"/>
  <c r="L48" i="7" s="1"/>
  <c r="J48" i="7"/>
  <c r="K48" i="7" s="1"/>
  <c r="H48" i="7"/>
  <c r="Q47" i="7"/>
  <c r="M47" i="7"/>
  <c r="L47" i="7" s="1"/>
  <c r="J47" i="7"/>
  <c r="K47" i="7" s="1"/>
  <c r="H47" i="7"/>
  <c r="Q46" i="7"/>
  <c r="M46" i="7"/>
  <c r="L46" i="7" s="1"/>
  <c r="J46" i="7"/>
  <c r="K46" i="7" s="1"/>
  <c r="H46" i="7"/>
  <c r="Q45" i="7"/>
  <c r="M45" i="7"/>
  <c r="L45" i="7" s="1"/>
  <c r="J45" i="7"/>
  <c r="K45" i="7" s="1"/>
  <c r="H45" i="7"/>
  <c r="Q44" i="7"/>
  <c r="M44" i="7"/>
  <c r="L44" i="7" s="1"/>
  <c r="J44" i="7"/>
  <c r="K44" i="7" s="1"/>
  <c r="H44" i="7"/>
  <c r="Q43" i="7"/>
  <c r="M43" i="7"/>
  <c r="L43" i="7" s="1"/>
  <c r="J43" i="7"/>
  <c r="K43" i="7" s="1"/>
  <c r="H43" i="7"/>
  <c r="Q42" i="7"/>
  <c r="M42" i="7"/>
  <c r="L42" i="7" s="1"/>
  <c r="J42" i="7"/>
  <c r="K42" i="7" s="1"/>
  <c r="H42" i="7"/>
  <c r="Q41" i="7"/>
  <c r="M41" i="7"/>
  <c r="L41" i="7" s="1"/>
  <c r="J41" i="7"/>
  <c r="K41" i="7" s="1"/>
  <c r="H41" i="7"/>
  <c r="Q40" i="7"/>
  <c r="M40" i="7"/>
  <c r="L40" i="7" s="1"/>
  <c r="J40" i="7"/>
  <c r="K40" i="7" s="1"/>
  <c r="H40" i="7"/>
  <c r="Q39" i="7"/>
  <c r="M39" i="7"/>
  <c r="L39" i="7" s="1"/>
  <c r="J39" i="7"/>
  <c r="K39" i="7" s="1"/>
  <c r="H39" i="7"/>
  <c r="Q38" i="7"/>
  <c r="M38" i="7"/>
  <c r="L38" i="7" s="1"/>
  <c r="J38" i="7"/>
  <c r="K38" i="7" s="1"/>
  <c r="H38" i="7"/>
  <c r="Q37" i="7"/>
  <c r="M37" i="7"/>
  <c r="L37" i="7" s="1"/>
  <c r="J37" i="7"/>
  <c r="K37" i="7" s="1"/>
  <c r="H37" i="7"/>
  <c r="Q36" i="7"/>
  <c r="M36" i="7"/>
  <c r="L36" i="7" s="1"/>
  <c r="J36" i="7"/>
  <c r="K36" i="7" s="1"/>
  <c r="H36" i="7"/>
  <c r="Q35" i="7"/>
  <c r="M35" i="7"/>
  <c r="L35" i="7" s="1"/>
  <c r="J35" i="7"/>
  <c r="K35" i="7" s="1"/>
  <c r="H35" i="7"/>
  <c r="Q34" i="7"/>
  <c r="M34" i="7"/>
  <c r="L34" i="7" s="1"/>
  <c r="J34" i="7"/>
  <c r="K34" i="7" s="1"/>
  <c r="H34" i="7"/>
  <c r="Q33" i="7"/>
  <c r="M33" i="7"/>
  <c r="L33" i="7" s="1"/>
  <c r="J33" i="7"/>
  <c r="K33" i="7" s="1"/>
  <c r="H33" i="7"/>
  <c r="Q32" i="7"/>
  <c r="M32" i="7"/>
  <c r="L32" i="7" s="1"/>
  <c r="J32" i="7"/>
  <c r="K32" i="7" s="1"/>
  <c r="H32" i="7"/>
  <c r="Q31" i="7"/>
  <c r="M31" i="7"/>
  <c r="L31" i="7" s="1"/>
  <c r="J31" i="7"/>
  <c r="K31" i="7" s="1"/>
  <c r="H31" i="7"/>
  <c r="Q30" i="7"/>
  <c r="M30" i="7"/>
  <c r="L30" i="7" s="1"/>
  <c r="J30" i="7"/>
  <c r="K30" i="7" s="1"/>
  <c r="H30" i="7"/>
  <c r="Q29" i="7"/>
  <c r="M29" i="7"/>
  <c r="L29" i="7" s="1"/>
  <c r="J29" i="7"/>
  <c r="K29" i="7" s="1"/>
  <c r="H29" i="7"/>
  <c r="Q28" i="7"/>
  <c r="M28" i="7"/>
  <c r="L28" i="7" s="1"/>
  <c r="J28" i="7"/>
  <c r="K28" i="7" s="1"/>
  <c r="H28" i="7"/>
  <c r="Q27" i="7"/>
  <c r="M27" i="7"/>
  <c r="L27" i="7" s="1"/>
  <c r="J27" i="7"/>
  <c r="K27" i="7" s="1"/>
  <c r="H27" i="7"/>
  <c r="Q26" i="7"/>
  <c r="M26" i="7"/>
  <c r="L26" i="7" s="1"/>
  <c r="J26" i="7"/>
  <c r="K26" i="7" s="1"/>
  <c r="H26" i="7"/>
  <c r="Q25" i="7"/>
  <c r="M25" i="7"/>
  <c r="L25" i="7" s="1"/>
  <c r="J25" i="7"/>
  <c r="K25" i="7" s="1"/>
  <c r="H25" i="7"/>
  <c r="Q24" i="7"/>
  <c r="M24" i="7"/>
  <c r="L24" i="7" s="1"/>
  <c r="K24" i="7"/>
  <c r="J24" i="7"/>
  <c r="H24" i="7"/>
  <c r="Q23" i="7"/>
  <c r="M23" i="7"/>
  <c r="L23" i="7" s="1"/>
  <c r="J23" i="7"/>
  <c r="K23" i="7" s="1"/>
  <c r="H23" i="7"/>
  <c r="Q22" i="7"/>
  <c r="M22" i="7"/>
  <c r="L22" i="7" s="1"/>
  <c r="J22" i="7"/>
  <c r="K22" i="7" s="1"/>
  <c r="H22" i="7"/>
  <c r="Q21" i="7"/>
  <c r="M21" i="7"/>
  <c r="L21" i="7" s="1"/>
  <c r="J21" i="7"/>
  <c r="K21" i="7" s="1"/>
  <c r="H21" i="7"/>
  <c r="Q20" i="7"/>
  <c r="M20" i="7"/>
  <c r="L20" i="7" s="1"/>
  <c r="J20" i="7"/>
  <c r="K20" i="7" s="1"/>
  <c r="H20" i="7"/>
  <c r="Q19" i="7"/>
  <c r="M19" i="7"/>
  <c r="L19" i="7" s="1"/>
  <c r="J19" i="7"/>
  <c r="K19" i="7" s="1"/>
  <c r="H19" i="7"/>
  <c r="Q18" i="7"/>
  <c r="M18" i="7"/>
  <c r="L18" i="7" s="1"/>
  <c r="J18" i="7"/>
  <c r="K18" i="7" s="1"/>
  <c r="H18" i="7"/>
  <c r="Q17" i="7"/>
  <c r="M17" i="7"/>
  <c r="L17" i="7" s="1"/>
  <c r="J17" i="7"/>
  <c r="K17" i="7" s="1"/>
  <c r="H17" i="7"/>
  <c r="Q16" i="7"/>
  <c r="M16" i="7"/>
  <c r="L16" i="7" s="1"/>
  <c r="J16" i="7"/>
  <c r="K16" i="7" s="1"/>
  <c r="H16" i="7"/>
  <c r="Q15" i="7"/>
  <c r="M15" i="7"/>
  <c r="L15" i="7" s="1"/>
  <c r="J15" i="7"/>
  <c r="K15" i="7" s="1"/>
  <c r="H15" i="7"/>
  <c r="Q14" i="7"/>
  <c r="M14" i="7"/>
  <c r="L14" i="7" s="1"/>
  <c r="J14" i="7"/>
  <c r="K14" i="7" s="1"/>
  <c r="H14" i="7"/>
  <c r="Q13" i="7"/>
  <c r="M13" i="7"/>
  <c r="L13" i="7" s="1"/>
  <c r="J13" i="7"/>
  <c r="K13" i="7" s="1"/>
  <c r="H13" i="7"/>
  <c r="Q12" i="7"/>
  <c r="M12" i="7"/>
  <c r="L12" i="7" s="1"/>
  <c r="J12" i="7"/>
  <c r="K12" i="7" s="1"/>
  <c r="H12" i="7"/>
  <c r="Q11" i="7"/>
  <c r="M11" i="7"/>
  <c r="L11" i="7" s="1"/>
  <c r="J11" i="7"/>
  <c r="K11" i="7" s="1"/>
  <c r="H11" i="7"/>
  <c r="Q10" i="7"/>
  <c r="M10" i="7"/>
  <c r="L10" i="7" s="1"/>
  <c r="J10" i="7"/>
  <c r="K10" i="7" s="1"/>
  <c r="H10" i="7"/>
  <c r="Q9" i="7"/>
  <c r="M9" i="7"/>
  <c r="L9" i="7" s="1"/>
  <c r="J9" i="7"/>
  <c r="K9" i="7" s="1"/>
  <c r="H9" i="7"/>
  <c r="Q8" i="7"/>
  <c r="M8" i="7"/>
  <c r="L8" i="7" s="1"/>
  <c r="J8" i="7"/>
  <c r="K8" i="7" s="1"/>
  <c r="H8" i="7"/>
  <c r="Q7" i="7"/>
  <c r="M7" i="7"/>
  <c r="L7" i="7" s="1"/>
  <c r="J7" i="7"/>
  <c r="K7" i="7" s="1"/>
  <c r="H7" i="7"/>
  <c r="Q6" i="7"/>
  <c r="M6" i="7"/>
  <c r="L6" i="7" s="1"/>
  <c r="J6" i="7"/>
  <c r="K6" i="7" s="1"/>
  <c r="H6" i="7"/>
  <c r="Q5" i="7"/>
  <c r="M5" i="7"/>
  <c r="L5" i="7" s="1"/>
  <c r="J5" i="7"/>
  <c r="K5" i="7" s="1"/>
  <c r="H5" i="7"/>
  <c r="Q4" i="7"/>
  <c r="M4" i="7"/>
  <c r="L4" i="7" s="1"/>
  <c r="J4" i="7"/>
  <c r="K4" i="7" s="1"/>
  <c r="H4" i="7"/>
  <c r="Q3" i="7"/>
  <c r="M3" i="7"/>
  <c r="L3" i="7" s="1"/>
  <c r="J3" i="7"/>
  <c r="K3" i="7" s="1"/>
  <c r="H3" i="7"/>
  <c r="Q2" i="7"/>
  <c r="M2" i="7"/>
  <c r="L2" i="7" s="1"/>
  <c r="J2" i="7"/>
  <c r="H2" i="7"/>
  <c r="Q71" i="6"/>
  <c r="M71" i="6"/>
  <c r="L71" i="6"/>
  <c r="J71" i="6"/>
  <c r="K71" i="6" s="1"/>
  <c r="H71" i="6"/>
  <c r="Q70" i="6"/>
  <c r="M70" i="6"/>
  <c r="L70" i="6" s="1"/>
  <c r="J70" i="6"/>
  <c r="K70" i="6" s="1"/>
  <c r="H70" i="6"/>
  <c r="Q69" i="6"/>
  <c r="M69" i="6"/>
  <c r="L69" i="6"/>
  <c r="J69" i="6"/>
  <c r="K69" i="6" s="1"/>
  <c r="H69" i="6"/>
  <c r="Q68" i="6"/>
  <c r="M68" i="6"/>
  <c r="L68" i="6" s="1"/>
  <c r="J68" i="6"/>
  <c r="K68" i="6" s="1"/>
  <c r="H68" i="6"/>
  <c r="Q67" i="6"/>
  <c r="M67" i="6"/>
  <c r="L67" i="6"/>
  <c r="J67" i="6"/>
  <c r="K67" i="6" s="1"/>
  <c r="H67" i="6"/>
  <c r="Q66" i="6"/>
  <c r="M66" i="6"/>
  <c r="L66" i="6" s="1"/>
  <c r="J66" i="6"/>
  <c r="K66" i="6" s="1"/>
  <c r="H66" i="6"/>
  <c r="Q65" i="6"/>
  <c r="M65" i="6"/>
  <c r="L65" i="6" s="1"/>
  <c r="J65" i="6"/>
  <c r="K65" i="6" s="1"/>
  <c r="H65" i="6"/>
  <c r="Q64" i="6"/>
  <c r="M64" i="6"/>
  <c r="L64" i="6"/>
  <c r="J64" i="6"/>
  <c r="K64" i="6" s="1"/>
  <c r="H64" i="6"/>
  <c r="Q63" i="6"/>
  <c r="M63" i="6"/>
  <c r="L63" i="6"/>
  <c r="J63" i="6"/>
  <c r="K63" i="6" s="1"/>
  <c r="H63" i="6"/>
  <c r="Q62" i="6"/>
  <c r="M62" i="6"/>
  <c r="L62" i="6" s="1"/>
  <c r="J62" i="6"/>
  <c r="K62" i="6" s="1"/>
  <c r="H62" i="6"/>
  <c r="Q61" i="6"/>
  <c r="M61" i="6"/>
  <c r="L61" i="6"/>
  <c r="J61" i="6"/>
  <c r="K61" i="6" s="1"/>
  <c r="H61" i="6"/>
  <c r="Q60" i="6"/>
  <c r="M60" i="6"/>
  <c r="L60" i="6" s="1"/>
  <c r="J60" i="6"/>
  <c r="K60" i="6" s="1"/>
  <c r="H60" i="6"/>
  <c r="Q59" i="6"/>
  <c r="M59" i="6"/>
  <c r="L59" i="6"/>
  <c r="J59" i="6"/>
  <c r="K59" i="6" s="1"/>
  <c r="H59" i="6"/>
  <c r="Q58" i="6"/>
  <c r="M58" i="6"/>
  <c r="L58" i="6" s="1"/>
  <c r="J58" i="6"/>
  <c r="K58" i="6" s="1"/>
  <c r="H58" i="6"/>
  <c r="Q57" i="6"/>
  <c r="M57" i="6"/>
  <c r="L57" i="6" s="1"/>
  <c r="J57" i="6"/>
  <c r="K57" i="6" s="1"/>
  <c r="H57" i="6"/>
  <c r="Q56" i="6"/>
  <c r="M56" i="6"/>
  <c r="L56" i="6"/>
  <c r="J56" i="6"/>
  <c r="K56" i="6" s="1"/>
  <c r="H56" i="6"/>
  <c r="Q55" i="6"/>
  <c r="M55" i="6"/>
  <c r="L55" i="6"/>
  <c r="J55" i="6"/>
  <c r="K55" i="6" s="1"/>
  <c r="H55" i="6"/>
  <c r="Q54" i="6"/>
  <c r="M54" i="6"/>
  <c r="L54" i="6" s="1"/>
  <c r="J54" i="6"/>
  <c r="K54" i="6" s="1"/>
  <c r="H54" i="6"/>
  <c r="Q53" i="6"/>
  <c r="M53" i="6"/>
  <c r="L53" i="6"/>
  <c r="J53" i="6"/>
  <c r="K53" i="6" s="1"/>
  <c r="H53" i="6"/>
  <c r="Q52" i="6"/>
  <c r="M52" i="6"/>
  <c r="L52" i="6" s="1"/>
  <c r="J52" i="6"/>
  <c r="K52" i="6" s="1"/>
  <c r="H52" i="6"/>
  <c r="Q51" i="6"/>
  <c r="M51" i="6"/>
  <c r="L51" i="6"/>
  <c r="J51" i="6"/>
  <c r="K51" i="6" s="1"/>
  <c r="H51" i="6"/>
  <c r="Q50" i="6"/>
  <c r="M50" i="6"/>
  <c r="L50" i="6" s="1"/>
  <c r="J50" i="6"/>
  <c r="K50" i="6" s="1"/>
  <c r="H50" i="6"/>
  <c r="Q49" i="6"/>
  <c r="M49" i="6"/>
  <c r="L49" i="6" s="1"/>
  <c r="J49" i="6"/>
  <c r="K49" i="6" s="1"/>
  <c r="H49" i="6"/>
  <c r="Q48" i="6"/>
  <c r="M48" i="6"/>
  <c r="L48" i="6"/>
  <c r="J48" i="6"/>
  <c r="K48" i="6" s="1"/>
  <c r="H48" i="6"/>
  <c r="Q47" i="6"/>
  <c r="M47" i="6"/>
  <c r="L47" i="6"/>
  <c r="J47" i="6"/>
  <c r="K47" i="6" s="1"/>
  <c r="H47" i="6"/>
  <c r="Q46" i="6"/>
  <c r="M46" i="6"/>
  <c r="L46" i="6" s="1"/>
  <c r="J46" i="6"/>
  <c r="K46" i="6" s="1"/>
  <c r="H46" i="6"/>
  <c r="Q45" i="6"/>
  <c r="M45" i="6"/>
  <c r="L45" i="6"/>
  <c r="J45" i="6"/>
  <c r="K45" i="6" s="1"/>
  <c r="H45" i="6"/>
  <c r="Q44" i="6"/>
  <c r="M44" i="6"/>
  <c r="L44" i="6" s="1"/>
  <c r="J44" i="6"/>
  <c r="K44" i="6" s="1"/>
  <c r="H44" i="6"/>
  <c r="Q43" i="6"/>
  <c r="M43" i="6"/>
  <c r="L43" i="6"/>
  <c r="J43" i="6"/>
  <c r="K43" i="6" s="1"/>
  <c r="H43" i="6"/>
  <c r="Q42" i="6"/>
  <c r="M42" i="6"/>
  <c r="L42" i="6" s="1"/>
  <c r="J42" i="6"/>
  <c r="K42" i="6" s="1"/>
  <c r="H42" i="6"/>
  <c r="Q41" i="6"/>
  <c r="M41" i="6"/>
  <c r="L41" i="6" s="1"/>
  <c r="J41" i="6"/>
  <c r="K41" i="6" s="1"/>
  <c r="H41" i="6"/>
  <c r="Q40" i="6"/>
  <c r="M40" i="6"/>
  <c r="L40" i="6"/>
  <c r="J40" i="6"/>
  <c r="K40" i="6" s="1"/>
  <c r="H40" i="6"/>
  <c r="Q39" i="6"/>
  <c r="M39" i="6"/>
  <c r="L39" i="6"/>
  <c r="J39" i="6"/>
  <c r="K39" i="6" s="1"/>
  <c r="H39" i="6"/>
  <c r="Q38" i="6"/>
  <c r="M38" i="6"/>
  <c r="L38" i="6" s="1"/>
  <c r="J38" i="6"/>
  <c r="K38" i="6" s="1"/>
  <c r="H38" i="6"/>
  <c r="Q37" i="6"/>
  <c r="M37" i="6"/>
  <c r="L37" i="6"/>
  <c r="J37" i="6"/>
  <c r="K37" i="6" s="1"/>
  <c r="H37" i="6"/>
  <c r="Q36" i="6"/>
  <c r="M36" i="6"/>
  <c r="L36" i="6" s="1"/>
  <c r="J36" i="6"/>
  <c r="K36" i="6" s="1"/>
  <c r="H36" i="6"/>
  <c r="Q35" i="6"/>
  <c r="M35" i="6"/>
  <c r="L35" i="6"/>
  <c r="J35" i="6"/>
  <c r="K35" i="6" s="1"/>
  <c r="H35" i="6"/>
  <c r="Q34" i="6"/>
  <c r="M34" i="6"/>
  <c r="L34" i="6" s="1"/>
  <c r="J34" i="6"/>
  <c r="K34" i="6" s="1"/>
  <c r="H34" i="6"/>
  <c r="Q33" i="6"/>
  <c r="M33" i="6"/>
  <c r="L33" i="6" s="1"/>
  <c r="J33" i="6"/>
  <c r="K33" i="6" s="1"/>
  <c r="H33" i="6"/>
  <c r="Q32" i="6"/>
  <c r="M32" i="6"/>
  <c r="L32" i="6"/>
  <c r="J32" i="6"/>
  <c r="K32" i="6" s="1"/>
  <c r="H32" i="6"/>
  <c r="Q31" i="6"/>
  <c r="M31" i="6"/>
  <c r="L31" i="6"/>
  <c r="J31" i="6"/>
  <c r="K31" i="6" s="1"/>
  <c r="H31" i="6"/>
  <c r="Q30" i="6"/>
  <c r="M30" i="6"/>
  <c r="L30" i="6" s="1"/>
  <c r="J30" i="6"/>
  <c r="K30" i="6" s="1"/>
  <c r="H30" i="6"/>
  <c r="Q29" i="6"/>
  <c r="M29" i="6"/>
  <c r="L29" i="6"/>
  <c r="J29" i="6"/>
  <c r="K29" i="6" s="1"/>
  <c r="H29" i="6"/>
  <c r="Q28" i="6"/>
  <c r="M28" i="6"/>
  <c r="L28" i="6" s="1"/>
  <c r="J28" i="6"/>
  <c r="K28" i="6" s="1"/>
  <c r="H28" i="6"/>
  <c r="Q27" i="6"/>
  <c r="M27" i="6"/>
  <c r="L27" i="6"/>
  <c r="J27" i="6"/>
  <c r="K27" i="6" s="1"/>
  <c r="H27" i="6"/>
  <c r="Q26" i="6"/>
  <c r="M26" i="6"/>
  <c r="L26" i="6" s="1"/>
  <c r="J26" i="6"/>
  <c r="K26" i="6" s="1"/>
  <c r="H26" i="6"/>
  <c r="Q25" i="6"/>
  <c r="M25" i="6"/>
  <c r="L25" i="6" s="1"/>
  <c r="J25" i="6"/>
  <c r="K25" i="6" s="1"/>
  <c r="H25" i="6"/>
  <c r="Q24" i="6"/>
  <c r="M24" i="6"/>
  <c r="L24" i="6"/>
  <c r="J24" i="6"/>
  <c r="K24" i="6" s="1"/>
  <c r="H24" i="6"/>
  <c r="Q23" i="6"/>
  <c r="M23" i="6"/>
  <c r="L23" i="6"/>
  <c r="J23" i="6"/>
  <c r="K23" i="6" s="1"/>
  <c r="H23" i="6"/>
  <c r="Q22" i="6"/>
  <c r="M22" i="6"/>
  <c r="L22" i="6" s="1"/>
  <c r="J22" i="6"/>
  <c r="K22" i="6" s="1"/>
  <c r="H22" i="6"/>
  <c r="Q21" i="6"/>
  <c r="M21" i="6"/>
  <c r="L21" i="6"/>
  <c r="J21" i="6"/>
  <c r="K21" i="6" s="1"/>
  <c r="H21" i="6"/>
  <c r="Q20" i="6"/>
  <c r="M20" i="6"/>
  <c r="L20" i="6" s="1"/>
  <c r="J20" i="6"/>
  <c r="K20" i="6" s="1"/>
  <c r="H20" i="6"/>
  <c r="Q19" i="6"/>
  <c r="M19" i="6"/>
  <c r="L19" i="6"/>
  <c r="J19" i="6"/>
  <c r="K19" i="6" s="1"/>
  <c r="H19" i="6"/>
  <c r="Q18" i="6"/>
  <c r="M18" i="6"/>
  <c r="L18" i="6" s="1"/>
  <c r="J18" i="6"/>
  <c r="K18" i="6" s="1"/>
  <c r="H18" i="6"/>
  <c r="Q17" i="6"/>
  <c r="M17" i="6"/>
  <c r="L17" i="6" s="1"/>
  <c r="J17" i="6"/>
  <c r="K17" i="6" s="1"/>
  <c r="H17" i="6"/>
  <c r="Q16" i="6"/>
  <c r="M16" i="6"/>
  <c r="L16" i="6"/>
  <c r="J16" i="6"/>
  <c r="K16" i="6" s="1"/>
  <c r="H16" i="6"/>
  <c r="Q15" i="6"/>
  <c r="M15" i="6"/>
  <c r="L15" i="6"/>
  <c r="J15" i="6"/>
  <c r="K15" i="6" s="1"/>
  <c r="H15" i="6"/>
  <c r="Q14" i="6"/>
  <c r="M14" i="6"/>
  <c r="L14" i="6" s="1"/>
  <c r="J14" i="6"/>
  <c r="K14" i="6" s="1"/>
  <c r="H14" i="6"/>
  <c r="Q13" i="6"/>
  <c r="M13" i="6"/>
  <c r="L13" i="6"/>
  <c r="J13" i="6"/>
  <c r="K13" i="6" s="1"/>
  <c r="H13" i="6"/>
  <c r="Q12" i="6"/>
  <c r="M12" i="6"/>
  <c r="L12" i="6" s="1"/>
  <c r="J12" i="6"/>
  <c r="K12" i="6" s="1"/>
  <c r="H12" i="6"/>
  <c r="Q11" i="6"/>
  <c r="M11" i="6"/>
  <c r="L11" i="6"/>
  <c r="J11" i="6"/>
  <c r="K11" i="6" s="1"/>
  <c r="H11" i="6"/>
  <c r="Q10" i="6"/>
  <c r="M10" i="6"/>
  <c r="L10" i="6" s="1"/>
  <c r="J10" i="6"/>
  <c r="K10" i="6" s="1"/>
  <c r="H10" i="6"/>
  <c r="Q9" i="6"/>
  <c r="M9" i="6"/>
  <c r="L9" i="6"/>
  <c r="J9" i="6"/>
  <c r="K9" i="6" s="1"/>
  <c r="H9" i="6"/>
  <c r="Q8" i="6"/>
  <c r="M8" i="6"/>
  <c r="L8" i="6"/>
  <c r="J8" i="6"/>
  <c r="K8" i="6" s="1"/>
  <c r="H8" i="6"/>
  <c r="Q7" i="6"/>
  <c r="M7" i="6"/>
  <c r="L7" i="6"/>
  <c r="J7" i="6"/>
  <c r="K7" i="6" s="1"/>
  <c r="H7" i="6"/>
  <c r="Q6" i="6"/>
  <c r="M6" i="6"/>
  <c r="L6" i="6" s="1"/>
  <c r="J6" i="6"/>
  <c r="K6" i="6" s="1"/>
  <c r="H6" i="6"/>
  <c r="Q5" i="6"/>
  <c r="M5" i="6"/>
  <c r="L5" i="6"/>
  <c r="J5" i="6"/>
  <c r="K5" i="6" s="1"/>
  <c r="H5" i="6"/>
  <c r="Q4" i="6"/>
  <c r="M4" i="6"/>
  <c r="L4" i="6" s="1"/>
  <c r="J4" i="6"/>
  <c r="K4" i="6" s="1"/>
  <c r="H4" i="6"/>
  <c r="Q3" i="6"/>
  <c r="M3" i="6"/>
  <c r="L3" i="6" s="1"/>
  <c r="K3" i="6"/>
  <c r="J3" i="6"/>
  <c r="H3" i="6"/>
  <c r="Q2" i="6"/>
  <c r="M2" i="6"/>
  <c r="L2" i="6" s="1"/>
  <c r="J2" i="6"/>
  <c r="H2" i="6"/>
  <c r="AV4" i="7" l="1" a="1"/>
  <c r="AV4" i="7" s="1"/>
  <c r="AU4" i="7" a="1"/>
  <c r="AU4" i="7" s="1"/>
  <c r="AS4" i="7"/>
  <c r="AV4" i="13" a="1"/>
  <c r="AV4" i="13" s="1"/>
  <c r="AU4" i="13" a="1"/>
  <c r="AU4" i="13" s="1"/>
  <c r="AS4" i="13"/>
  <c r="AS4" i="10"/>
  <c r="AV4" i="10" a="1"/>
  <c r="AV4" i="10" s="1"/>
  <c r="AU4" i="10" a="1"/>
  <c r="AU4" i="10" s="1"/>
  <c r="AV4" i="11" a="1"/>
  <c r="AV4" i="11" s="1"/>
  <c r="AU4" i="11" a="1"/>
  <c r="AU4" i="11" s="1"/>
  <c r="AS4" i="11"/>
  <c r="K2" i="10"/>
  <c r="K2" i="11"/>
  <c r="U2" i="12"/>
  <c r="S2" i="2" s="1"/>
  <c r="U2" i="13"/>
  <c r="T2" i="2" s="1"/>
  <c r="AV4" i="8" a="1"/>
  <c r="AV4" i="8" s="1"/>
  <c r="AU4" i="8" a="1"/>
  <c r="AU4" i="8" s="1"/>
  <c r="AS4" i="8"/>
  <c r="AU4" i="9" a="1"/>
  <c r="AU4" i="9" s="1"/>
  <c r="AS4" i="9"/>
  <c r="AV4" i="9" a="1"/>
  <c r="AV4" i="9" s="1"/>
  <c r="T2" i="12"/>
  <c r="W2" i="12" s="1"/>
  <c r="X2" i="12" s="1"/>
  <c r="K2" i="6"/>
  <c r="AV4" i="6" a="1"/>
  <c r="AV4" i="6" s="1"/>
  <c r="AU4" i="6" a="1"/>
  <c r="AU4" i="6" s="1"/>
  <c r="AS4" i="6"/>
  <c r="U2" i="6"/>
  <c r="M2" i="2" s="1"/>
  <c r="K2" i="8"/>
  <c r="K2" i="9"/>
  <c r="U2" i="10"/>
  <c r="Q2" i="2" s="1"/>
  <c r="U2" i="11"/>
  <c r="R2" i="2" s="1"/>
  <c r="AV4" i="12" a="1"/>
  <c r="AV4" i="12" s="1"/>
  <c r="AU4" i="12" a="1"/>
  <c r="AU4" i="12" s="1"/>
  <c r="AS4" i="12"/>
  <c r="T2" i="10"/>
  <c r="W2" i="10" s="1"/>
  <c r="X2" i="10" s="1"/>
  <c r="U2" i="8"/>
  <c r="O2" i="2" s="1"/>
  <c r="V2" i="10"/>
  <c r="U2" i="9"/>
  <c r="P2" i="2" s="1"/>
  <c r="T2" i="9"/>
  <c r="W2" i="9" s="1"/>
  <c r="X2" i="9" s="1"/>
  <c r="V2" i="9"/>
  <c r="T2" i="7"/>
  <c r="W2" i="7" s="1"/>
  <c r="X2" i="7" s="1"/>
  <c r="K2" i="7"/>
  <c r="V2" i="7"/>
  <c r="U2" i="7"/>
  <c r="N2" i="2" s="1"/>
  <c r="T2" i="11"/>
  <c r="V2" i="11"/>
  <c r="T2" i="6"/>
  <c r="W2" i="6" s="1"/>
  <c r="X2" i="6" s="1"/>
  <c r="V2" i="6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T2" i="1" l="1"/>
  <c r="U2" i="1"/>
  <c r="W2" i="11"/>
  <c r="X2" i="11" s="1"/>
  <c r="B2" i="5" l="1"/>
  <c r="L2" i="2"/>
  <c r="F2" i="5" s="1"/>
  <c r="W2" i="1"/>
  <c r="A2" i="5"/>
  <c r="H52" i="1"/>
  <c r="J52" i="1"/>
  <c r="K52" i="1" s="1"/>
  <c r="M52" i="1"/>
  <c r="L52" i="1" s="1"/>
  <c r="H53" i="1"/>
  <c r="J53" i="1"/>
  <c r="K53" i="1" s="1"/>
  <c r="M53" i="1"/>
  <c r="L53" i="1" s="1"/>
  <c r="H54" i="1"/>
  <c r="J54" i="1"/>
  <c r="K54" i="1" s="1"/>
  <c r="M54" i="1"/>
  <c r="L54" i="1" s="1"/>
  <c r="H55" i="1"/>
  <c r="J55" i="1"/>
  <c r="K55" i="1" s="1"/>
  <c r="M55" i="1"/>
  <c r="L55" i="1" s="1"/>
  <c r="H56" i="1"/>
  <c r="J56" i="1"/>
  <c r="K56" i="1" s="1"/>
  <c r="M56" i="1"/>
  <c r="L56" i="1" s="1"/>
  <c r="H57" i="1"/>
  <c r="J57" i="1"/>
  <c r="K57" i="1" s="1"/>
  <c r="M57" i="1"/>
  <c r="L57" i="1" s="1"/>
  <c r="H58" i="1"/>
  <c r="J58" i="1"/>
  <c r="K58" i="1" s="1"/>
  <c r="M58" i="1"/>
  <c r="L58" i="1" s="1"/>
  <c r="H59" i="1"/>
  <c r="J59" i="1"/>
  <c r="K59" i="1" s="1"/>
  <c r="M59" i="1"/>
  <c r="L59" i="1" s="1"/>
  <c r="H60" i="1"/>
  <c r="J60" i="1"/>
  <c r="K60" i="1" s="1"/>
  <c r="M60" i="1"/>
  <c r="L60" i="1" s="1"/>
  <c r="H61" i="1"/>
  <c r="J61" i="1"/>
  <c r="K61" i="1" s="1"/>
  <c r="M61" i="1"/>
  <c r="L61" i="1" s="1"/>
  <c r="H62" i="1"/>
  <c r="J62" i="1"/>
  <c r="K62" i="1" s="1"/>
  <c r="M62" i="1"/>
  <c r="L62" i="1" s="1"/>
  <c r="H63" i="1"/>
  <c r="J63" i="1"/>
  <c r="K63" i="1" s="1"/>
  <c r="M63" i="1"/>
  <c r="L63" i="1" s="1"/>
  <c r="H64" i="1"/>
  <c r="J64" i="1"/>
  <c r="K64" i="1" s="1"/>
  <c r="M64" i="1"/>
  <c r="L64" i="1" s="1"/>
  <c r="H65" i="1"/>
  <c r="J65" i="1"/>
  <c r="K65" i="1" s="1"/>
  <c r="M65" i="1"/>
  <c r="L65" i="1" s="1"/>
  <c r="H66" i="1"/>
  <c r="J66" i="1"/>
  <c r="K66" i="1" s="1"/>
  <c r="M66" i="1"/>
  <c r="L66" i="1" s="1"/>
  <c r="H67" i="1"/>
  <c r="J67" i="1"/>
  <c r="K67" i="1" s="1"/>
  <c r="M67" i="1"/>
  <c r="L67" i="1" s="1"/>
  <c r="H68" i="1"/>
  <c r="J68" i="1"/>
  <c r="K68" i="1" s="1"/>
  <c r="M68" i="1"/>
  <c r="L68" i="1" s="1"/>
  <c r="H69" i="1"/>
  <c r="J69" i="1"/>
  <c r="K69" i="1" s="1"/>
  <c r="M69" i="1"/>
  <c r="L69" i="1" s="1"/>
  <c r="H70" i="1"/>
  <c r="J70" i="1"/>
  <c r="K70" i="1" s="1"/>
  <c r="M70" i="1"/>
  <c r="L70" i="1" s="1"/>
  <c r="H71" i="1"/>
  <c r="J71" i="1"/>
  <c r="K71" i="1" s="1"/>
  <c r="M71" i="1"/>
  <c r="L71" i="1" s="1"/>
  <c r="D2" i="5" l="1"/>
  <c r="E2" i="5" s="1"/>
  <c r="H40" i="1"/>
  <c r="J40" i="1"/>
  <c r="K40" i="1" s="1"/>
  <c r="M40" i="1"/>
  <c r="L40" i="1" s="1"/>
  <c r="H41" i="1"/>
  <c r="J41" i="1"/>
  <c r="K41" i="1" s="1"/>
  <c r="M41" i="1"/>
  <c r="L41" i="1" s="1"/>
  <c r="H42" i="1"/>
  <c r="J42" i="1"/>
  <c r="K42" i="1" s="1"/>
  <c r="M42" i="1"/>
  <c r="L42" i="1" s="1"/>
  <c r="H43" i="1"/>
  <c r="J43" i="1"/>
  <c r="K43" i="1" s="1"/>
  <c r="M43" i="1"/>
  <c r="L43" i="1" s="1"/>
  <c r="H44" i="1"/>
  <c r="J44" i="1"/>
  <c r="K44" i="1" s="1"/>
  <c r="M44" i="1"/>
  <c r="L44" i="1" s="1"/>
  <c r="H45" i="1"/>
  <c r="J45" i="1"/>
  <c r="K45" i="1" s="1"/>
  <c r="M45" i="1"/>
  <c r="L45" i="1" s="1"/>
  <c r="H46" i="1"/>
  <c r="J46" i="1"/>
  <c r="K46" i="1" s="1"/>
  <c r="M46" i="1"/>
  <c r="L46" i="1" s="1"/>
  <c r="H47" i="1"/>
  <c r="J47" i="1"/>
  <c r="K47" i="1" s="1"/>
  <c r="M47" i="1"/>
  <c r="L47" i="1" s="1"/>
  <c r="H48" i="1"/>
  <c r="J48" i="1"/>
  <c r="K48" i="1" s="1"/>
  <c r="M48" i="1"/>
  <c r="L48" i="1" s="1"/>
  <c r="H49" i="1"/>
  <c r="J49" i="1"/>
  <c r="K49" i="1" s="1"/>
  <c r="M49" i="1"/>
  <c r="L49" i="1" s="1"/>
  <c r="H50" i="1"/>
  <c r="J50" i="1"/>
  <c r="K50" i="1" s="1"/>
  <c r="M50" i="1"/>
  <c r="L50" i="1" s="1"/>
  <c r="H51" i="1"/>
  <c r="J51" i="1"/>
  <c r="K51" i="1" s="1"/>
  <c r="M51" i="1"/>
  <c r="L51" i="1" s="1"/>
  <c r="H33" i="1"/>
  <c r="J33" i="1"/>
  <c r="K33" i="1" s="1"/>
  <c r="M33" i="1"/>
  <c r="L33" i="1" s="1"/>
  <c r="H34" i="1"/>
  <c r="J34" i="1"/>
  <c r="K34" i="1" s="1"/>
  <c r="M34" i="1"/>
  <c r="L34" i="1" s="1"/>
  <c r="H35" i="1"/>
  <c r="J35" i="1"/>
  <c r="K35" i="1" s="1"/>
  <c r="M35" i="1"/>
  <c r="L35" i="1" s="1"/>
  <c r="H36" i="1"/>
  <c r="J36" i="1"/>
  <c r="K36" i="1" s="1"/>
  <c r="M36" i="1"/>
  <c r="L36" i="1" s="1"/>
  <c r="H37" i="1"/>
  <c r="J37" i="1"/>
  <c r="K37" i="1" s="1"/>
  <c r="M37" i="1"/>
  <c r="L37" i="1" s="1"/>
  <c r="H38" i="1"/>
  <c r="J38" i="1"/>
  <c r="K38" i="1" s="1"/>
  <c r="M38" i="1"/>
  <c r="L38" i="1" s="1"/>
  <c r="H39" i="1"/>
  <c r="J39" i="1"/>
  <c r="K39" i="1" s="1"/>
  <c r="M39" i="1"/>
  <c r="L39" i="1" s="1"/>
  <c r="V2" i="1" l="1"/>
  <c r="C2" i="5" s="1"/>
  <c r="J26" i="1"/>
  <c r="J27" i="1"/>
  <c r="J28" i="1"/>
  <c r="J29" i="1"/>
  <c r="J30" i="1"/>
  <c r="J31" i="1"/>
  <c r="J32" i="1"/>
  <c r="X2" i="1" l="1"/>
  <c r="H27" i="1"/>
  <c r="K27" i="1"/>
  <c r="M27" i="1"/>
  <c r="L27" i="1" s="1"/>
  <c r="H28" i="1"/>
  <c r="K28" i="1"/>
  <c r="M28" i="1"/>
  <c r="L28" i="1" s="1"/>
  <c r="H29" i="1"/>
  <c r="K29" i="1"/>
  <c r="M29" i="1"/>
  <c r="L29" i="1" s="1"/>
  <c r="H30" i="1"/>
  <c r="K30" i="1"/>
  <c r="M30" i="1"/>
  <c r="L30" i="1" s="1"/>
  <c r="H31" i="1"/>
  <c r="K31" i="1"/>
  <c r="M31" i="1"/>
  <c r="L31" i="1" s="1"/>
  <c r="H32" i="1"/>
  <c r="K32" i="1"/>
  <c r="M32" i="1"/>
  <c r="L32" i="1" s="1"/>
  <c r="H26" i="1"/>
  <c r="K26" i="1" l="1"/>
  <c r="M26" i="1"/>
  <c r="L26" i="1" s="1"/>
  <c r="AD4" i="1" l="1"/>
  <c r="AG4" i="1"/>
  <c r="P4" i="5" l="1"/>
  <c r="AV4" i="1" a="1"/>
  <c r="AV4" i="1" s="1"/>
  <c r="AS4" i="1"/>
  <c r="AU4" i="1" a="1"/>
  <c r="AU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D1" authorId="0" shapeId="0" xr:uid="{05412D25-4E21-4501-998D-9702DA0678E4}">
      <text>
        <r>
          <rPr>
            <b/>
            <sz val="9"/>
            <color indexed="81"/>
            <rFont val="Tahoma"/>
            <family val="2"/>
            <charset val="204"/>
          </rPr>
          <t>Выбрать из раскрывающего списка</t>
        </r>
      </text>
    </comment>
    <comment ref="E1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F1" authorId="0" shapeId="0" xr:uid="{00000000-0006-0000-0000-000002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G1" authorId="0" shapeId="0" xr:uid="{00000000-0006-0000-0000-000003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I1" authorId="0" shapeId="0" xr:uid="{00000000-0006-0000-0000-000004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N1" authorId="0" shapeId="0" xr:uid="{00000000-0006-0000-0000-000005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O1" authorId="0" shapeId="0" xr:uid="{00000000-0006-0000-0000-000006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P1" authorId="0" shapeId="0" xr:uid="{00000000-0006-0000-0000-000007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D2" authorId="0" shapeId="0" xr:uid="{21AE6BAC-CC3D-40C0-A701-511CABA95CCF}">
      <text>
        <r>
          <rPr>
            <b/>
            <sz val="9"/>
            <color indexed="81"/>
            <rFont val="Tahoma"/>
            <charset val="1"/>
          </rPr>
          <t>Вы можете выбрать несколько ставок в случае экспресса</t>
        </r>
      </text>
    </comment>
    <comment ref="F2" authorId="0" shapeId="0" xr:uid="{406E231A-52A1-48E4-90DD-32B79D01B029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G2" authorId="0" shapeId="0" xr:uid="{E8AC2032-5CCA-4CF1-8415-1D8C8B1182C1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I2" authorId="0" shapeId="0" xr:uid="{401E5DA8-52EC-425F-975F-8D7DB2962558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O2" authorId="0" shapeId="0" xr:uid="{D4AA9AC1-12FF-4649-8A9C-35E4A3A078DF}">
      <text>
        <r>
          <rPr>
            <b/>
            <sz val="9"/>
            <color indexed="81"/>
            <rFont val="Tahoma"/>
            <charset val="1"/>
          </rPr>
          <t>Через запятую вы можете писать любой чемпионат</t>
        </r>
      </text>
    </comment>
    <comment ref="P2" authorId="0" shapeId="0" xr:uid="{BDE39963-68D6-4A3C-AAAC-B402595FF34E}">
      <text>
        <r>
          <rPr>
            <b/>
            <sz val="9"/>
            <color indexed="81"/>
            <rFont val="Tahoma"/>
            <charset val="1"/>
          </rPr>
          <t>Не ставил = Не рассчитано</t>
        </r>
      </text>
    </comment>
    <comment ref="Z2" authorId="0" shapeId="0" xr:uid="{00000000-0006-0000-0000-00000D000000}">
      <text>
        <r>
          <rPr>
            <b/>
            <sz val="9"/>
            <color indexed="81"/>
            <rFont val="Tahoma"/>
            <charset val="1"/>
          </rPr>
          <t>Если в столбце E2:E71 вы сотрёте значения "Моя", то в графике исхода, идеи ставки, идеи ставки будут закрывать друг друга. Если вы не будете стирать, то здесь (Z4) правильное значение появится только после заполнения всех 70-ти ставок. Приносим извинения за неудобства</t>
        </r>
      </text>
    </comment>
    <comment ref="AO12" authorId="0" shapeId="0" xr:uid="{00000000-0006-0000-0000-00000E000000}">
      <text>
        <r>
          <rPr>
            <b/>
            <sz val="9"/>
            <color indexed="81"/>
            <rFont val="Tahoma"/>
            <charset val="1"/>
          </rPr>
          <t>Выберите из раскрывающегося списка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D1" authorId="0" shapeId="0" xr:uid="{26234E1D-1BE1-4532-9C02-74B9C6050387}">
      <text>
        <r>
          <rPr>
            <b/>
            <sz val="9"/>
            <color indexed="81"/>
            <rFont val="Tahoma"/>
            <family val="2"/>
            <charset val="204"/>
          </rPr>
          <t>Выбрать из раскрывающего списка</t>
        </r>
      </text>
    </comment>
    <comment ref="E1" authorId="0" shapeId="0" xr:uid="{00000000-0006-0000-0100-000001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F1" authorId="0" shapeId="0" xr:uid="{00000000-0006-0000-0100-000002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G1" authorId="0" shapeId="0" xr:uid="{00000000-0006-0000-0100-000003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I1" authorId="0" shapeId="0" xr:uid="{00000000-0006-0000-0100-000004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N1" authorId="0" shapeId="0" xr:uid="{00000000-0006-0000-0100-000005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O1" authorId="0" shapeId="0" xr:uid="{00000000-0006-0000-0100-000006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P1" authorId="0" shapeId="0" xr:uid="{00000000-0006-0000-0100-000007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D2" authorId="0" shapeId="0" xr:uid="{8D65E918-C3D0-4539-AF57-199738A07B08}">
      <text>
        <r>
          <rPr>
            <b/>
            <sz val="9"/>
            <color indexed="81"/>
            <rFont val="Tahoma"/>
            <family val="2"/>
            <charset val="204"/>
          </rPr>
          <t>Вы можете выбрать несколько ставок в случае экспресса</t>
        </r>
      </text>
    </comment>
    <comment ref="F2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G2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I2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O2" authorId="0" shapeId="0" xr:uid="{00000000-0006-0000-0100-00000B000000}">
      <text>
        <r>
          <rPr>
            <b/>
            <sz val="9"/>
            <color indexed="81"/>
            <rFont val="Tahoma"/>
            <charset val="1"/>
          </rPr>
          <t>Через запятую вы можете писать любой чемпионат</t>
        </r>
      </text>
    </comment>
    <comment ref="P2" authorId="0" shapeId="0" xr:uid="{00000000-0006-0000-0100-00000C000000}">
      <text>
        <r>
          <rPr>
            <b/>
            <sz val="9"/>
            <color indexed="81"/>
            <rFont val="Tahoma"/>
            <charset val="1"/>
          </rPr>
          <t>Не ставил = Не рассчитано</t>
        </r>
      </text>
    </comment>
    <comment ref="Z2" authorId="0" shapeId="0" xr:uid="{EE12584D-BBEE-44E6-BF00-5CAE52B39B5A}">
      <text>
        <r>
          <rPr>
            <b/>
            <sz val="9"/>
            <color indexed="81"/>
            <rFont val="Tahoma"/>
            <charset val="1"/>
          </rPr>
          <t>Если в столбце E2:E71 вы сотрёте значения "Моя", то в графике исхода, идеи ставки, идеи ставки будут закрывать друг друга. Если вы не будете стирать, то здесь (Z4) правильное значение появится только после заполнения всех 70-ти ставок. Приносим извинения за неудобства</t>
        </r>
      </text>
    </comment>
    <comment ref="AO12" authorId="0" shapeId="0" xr:uid="{00000000-0006-0000-0100-00000E000000}">
      <text>
        <r>
          <rPr>
            <b/>
            <sz val="9"/>
            <color indexed="81"/>
            <rFont val="Tahoma"/>
            <charset val="1"/>
          </rPr>
          <t>Выбирите из списка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D1" authorId="0" shapeId="0" xr:uid="{F4AF5497-C508-4216-B41F-D53A4734F332}">
      <text>
        <r>
          <rPr>
            <b/>
            <sz val="9"/>
            <color indexed="81"/>
            <rFont val="Tahoma"/>
            <family val="2"/>
            <charset val="204"/>
          </rPr>
          <t>Выбрать из раскрывающего списка</t>
        </r>
      </text>
    </comment>
    <comment ref="E1" authorId="0" shapeId="0" xr:uid="{00000000-0006-0000-0200-000001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F1" authorId="0" shapeId="0" xr:uid="{00000000-0006-0000-0200-000002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G1" authorId="0" shapeId="0" xr:uid="{00000000-0006-0000-0200-000003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I1" authorId="0" shapeId="0" xr:uid="{00000000-0006-0000-0200-000004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N1" authorId="0" shapeId="0" xr:uid="{00000000-0006-0000-0200-000005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O1" authorId="0" shapeId="0" xr:uid="{00000000-0006-0000-0200-000006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P1" authorId="0" shapeId="0" xr:uid="{00000000-0006-0000-0200-000007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D2" authorId="0" shapeId="0" xr:uid="{339D0239-FD89-4D97-92CB-2F480AE5BE25}">
      <text>
        <r>
          <rPr>
            <b/>
            <sz val="9"/>
            <color indexed="81"/>
            <rFont val="Tahoma"/>
            <family val="2"/>
            <charset val="204"/>
          </rPr>
          <t>Вы можете выбрать несколько ставок в случае экспресса</t>
        </r>
      </text>
    </comment>
    <comment ref="F2" authorId="0" shapeId="0" xr:uid="{00000000-0006-0000-0200-000008000000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G2" authorId="0" shapeId="0" xr:uid="{00000000-0006-0000-0200-000009000000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I2" authorId="0" shapeId="0" xr:uid="{00000000-0006-0000-0200-00000A000000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O2" authorId="0" shapeId="0" xr:uid="{00000000-0006-0000-0200-00000B000000}">
      <text>
        <r>
          <rPr>
            <b/>
            <sz val="9"/>
            <color indexed="81"/>
            <rFont val="Tahoma"/>
            <charset val="1"/>
          </rPr>
          <t>Через запятую вы можете писать любой чемпионат</t>
        </r>
      </text>
    </comment>
    <comment ref="P2" authorId="0" shapeId="0" xr:uid="{00000000-0006-0000-0200-00000C000000}">
      <text>
        <r>
          <rPr>
            <b/>
            <sz val="9"/>
            <color indexed="81"/>
            <rFont val="Tahoma"/>
            <charset val="1"/>
          </rPr>
          <t>Не ставил = Не рассчитано</t>
        </r>
      </text>
    </comment>
    <comment ref="Z2" authorId="0" shapeId="0" xr:uid="{5B8BD07B-DD5C-4650-84DB-06E43C73B2F3}">
      <text>
        <r>
          <rPr>
            <b/>
            <sz val="9"/>
            <color indexed="81"/>
            <rFont val="Tahoma"/>
            <charset val="1"/>
          </rPr>
          <t>Если в столбце E2:E71 вы сотрёте значения "Моя", то в графике исхода, идеи ставки, идеи ставки будут закрывать друг друга. Если вы не будете стирать, то здесь (Z4) правильное значение появится только после заполнения всех 70-ти ставок. Приносим извинения за неудобства</t>
        </r>
      </text>
    </comment>
    <comment ref="AO12" authorId="0" shapeId="0" xr:uid="{00000000-0006-0000-0200-00000E000000}">
      <text>
        <r>
          <rPr>
            <b/>
            <sz val="9"/>
            <color indexed="81"/>
            <rFont val="Tahoma"/>
            <charset val="1"/>
          </rPr>
          <t>Выбирите из списка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D1" authorId="0" shapeId="0" xr:uid="{C323EC50-9AF4-4383-802C-53BE3C1A5174}">
      <text>
        <r>
          <rPr>
            <b/>
            <sz val="9"/>
            <color indexed="81"/>
            <rFont val="Tahoma"/>
            <family val="2"/>
            <charset val="204"/>
          </rPr>
          <t>Выбрать из раскрывающего списка</t>
        </r>
      </text>
    </comment>
    <comment ref="E1" authorId="0" shapeId="0" xr:uid="{00000000-0006-0000-0300-000001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F1" authorId="0" shapeId="0" xr:uid="{00000000-0006-0000-0300-000002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G1" authorId="0" shapeId="0" xr:uid="{00000000-0006-0000-0300-000003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I1" authorId="0" shapeId="0" xr:uid="{00000000-0006-0000-0300-000004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N1" authorId="0" shapeId="0" xr:uid="{00000000-0006-0000-0300-000005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O1" authorId="0" shapeId="0" xr:uid="{00000000-0006-0000-0300-000006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P1" authorId="0" shapeId="0" xr:uid="{00000000-0006-0000-0300-000007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D2" authorId="0" shapeId="0" xr:uid="{01874655-DF1C-41B7-A890-A431CD76815E}">
      <text>
        <r>
          <rPr>
            <b/>
            <sz val="9"/>
            <color indexed="81"/>
            <rFont val="Tahoma"/>
            <family val="2"/>
            <charset val="204"/>
          </rPr>
          <t>Вы можете выбрать несколько ставок в случае экспресса</t>
        </r>
      </text>
    </comment>
    <comment ref="F2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G2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I2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O2" authorId="0" shapeId="0" xr:uid="{00000000-0006-0000-0300-00000B000000}">
      <text>
        <r>
          <rPr>
            <b/>
            <sz val="9"/>
            <color indexed="81"/>
            <rFont val="Tahoma"/>
            <charset val="1"/>
          </rPr>
          <t>Через запятую вы можете писать любой чемпионат</t>
        </r>
      </text>
    </comment>
    <comment ref="P2" authorId="0" shapeId="0" xr:uid="{00000000-0006-0000-0300-00000C000000}">
      <text>
        <r>
          <rPr>
            <b/>
            <sz val="9"/>
            <color indexed="81"/>
            <rFont val="Tahoma"/>
            <charset val="1"/>
          </rPr>
          <t>Не ставил = Не рассчитано</t>
        </r>
      </text>
    </comment>
    <comment ref="Z2" authorId="0" shapeId="0" xr:uid="{48DD719F-0729-4A21-ADB1-920568A67B33}">
      <text>
        <r>
          <rPr>
            <b/>
            <sz val="9"/>
            <color indexed="81"/>
            <rFont val="Tahoma"/>
            <charset val="1"/>
          </rPr>
          <t>Если в столбце E2:E71 вы сотрёте значения "Моя", то в графике исхода, идеи ставки, идеи ставки будут закрывать друг друга. Если вы не будете стирать, то здесь (Z4) правильное значение появится только после заполнения всех 70-ти ставок. Приносим извинения за неудобства</t>
        </r>
      </text>
    </comment>
    <comment ref="AO12" authorId="0" shapeId="0" xr:uid="{00000000-0006-0000-0300-00000E000000}">
      <text>
        <r>
          <rPr>
            <b/>
            <sz val="9"/>
            <color indexed="81"/>
            <rFont val="Tahoma"/>
            <charset val="1"/>
          </rPr>
          <t>Выбирите из списка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D1" authorId="0" shapeId="0" xr:uid="{D1B08BE2-D008-42A9-8ED8-C0000AF68B98}">
      <text>
        <r>
          <rPr>
            <b/>
            <sz val="9"/>
            <color indexed="81"/>
            <rFont val="Tahoma"/>
            <family val="2"/>
            <charset val="204"/>
          </rPr>
          <t>Выбрать из раскрывающего списка</t>
        </r>
      </text>
    </comment>
    <comment ref="E1" authorId="0" shapeId="0" xr:uid="{00000000-0006-0000-0400-000001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F1" authorId="0" shapeId="0" xr:uid="{00000000-0006-0000-0400-000002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G1" authorId="0" shapeId="0" xr:uid="{00000000-0006-0000-0400-000003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I1" authorId="0" shapeId="0" xr:uid="{00000000-0006-0000-0400-000004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N1" authorId="0" shapeId="0" xr:uid="{00000000-0006-0000-0400-000005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O1" authorId="0" shapeId="0" xr:uid="{00000000-0006-0000-0400-000006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P1" authorId="0" shapeId="0" xr:uid="{00000000-0006-0000-0400-000007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D2" authorId="0" shapeId="0" xr:uid="{17118AFD-4D0B-4A86-8CB3-52FEE86EFD12}">
      <text>
        <r>
          <rPr>
            <b/>
            <sz val="9"/>
            <color indexed="81"/>
            <rFont val="Tahoma"/>
            <family val="2"/>
            <charset val="204"/>
          </rPr>
          <t>Вы можете выбрать несколько ставок в случае экспресса</t>
        </r>
      </text>
    </comment>
    <comment ref="F2" authorId="0" shapeId="0" xr:uid="{00000000-0006-0000-0400-000008000000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G2" authorId="0" shapeId="0" xr:uid="{00000000-0006-0000-0400-000009000000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I2" authorId="0" shapeId="0" xr:uid="{00000000-0006-0000-0400-00000A000000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O2" authorId="0" shapeId="0" xr:uid="{00000000-0006-0000-0400-00000B000000}">
      <text>
        <r>
          <rPr>
            <b/>
            <sz val="9"/>
            <color indexed="81"/>
            <rFont val="Tahoma"/>
            <charset val="1"/>
          </rPr>
          <t>Через запятую вы можете писать любой чемпионат</t>
        </r>
      </text>
    </comment>
    <comment ref="P2" authorId="0" shapeId="0" xr:uid="{00000000-0006-0000-0400-00000C000000}">
      <text>
        <r>
          <rPr>
            <b/>
            <sz val="9"/>
            <color indexed="81"/>
            <rFont val="Tahoma"/>
            <charset val="1"/>
          </rPr>
          <t>Не ставил = Не рассчитано</t>
        </r>
      </text>
    </comment>
    <comment ref="Z2" authorId="0" shapeId="0" xr:uid="{D83B5A92-7B98-4AA2-9316-37C7DBFB1847}">
      <text>
        <r>
          <rPr>
            <b/>
            <sz val="9"/>
            <color indexed="81"/>
            <rFont val="Tahoma"/>
            <charset val="1"/>
          </rPr>
          <t>Если в столбце E2:E71 вы сотрёте значения "Моя", то в графике исхода, идеи ставки, идеи ставки будут закрывать друг друга. Если вы не будете стирать, то здесь (Z4) правильное значение появится только после заполнения всех 70-ти ставок. Приносим извинения за неудобства</t>
        </r>
      </text>
    </comment>
    <comment ref="AO12" authorId="0" shapeId="0" xr:uid="{00000000-0006-0000-0400-00000E000000}">
      <text>
        <r>
          <rPr>
            <b/>
            <sz val="9"/>
            <color indexed="81"/>
            <rFont val="Tahoma"/>
            <charset val="1"/>
          </rPr>
          <t>Выбирите из списка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D1" authorId="0" shapeId="0" xr:uid="{02D851B0-75F9-420E-8E47-5BC618E52977}">
      <text>
        <r>
          <rPr>
            <b/>
            <sz val="9"/>
            <color indexed="81"/>
            <rFont val="Tahoma"/>
            <family val="2"/>
            <charset val="204"/>
          </rPr>
          <t>Выбрать из раскрывающего списка</t>
        </r>
      </text>
    </comment>
    <comment ref="E1" authorId="0" shapeId="0" xr:uid="{00000000-0006-0000-0500-000001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F1" authorId="0" shapeId="0" xr:uid="{00000000-0006-0000-0500-000002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G1" authorId="0" shapeId="0" xr:uid="{00000000-0006-0000-0500-000003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I1" authorId="0" shapeId="0" xr:uid="{00000000-0006-0000-0500-000004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N1" authorId="0" shapeId="0" xr:uid="{00000000-0006-0000-0500-000005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O1" authorId="0" shapeId="0" xr:uid="{00000000-0006-0000-0500-000006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P1" authorId="0" shapeId="0" xr:uid="{00000000-0006-0000-0500-000007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D2" authorId="0" shapeId="0" xr:uid="{A080C15C-9515-4CDC-8529-B8C669427270}">
      <text>
        <r>
          <rPr>
            <b/>
            <sz val="9"/>
            <color indexed="81"/>
            <rFont val="Tahoma"/>
            <family val="2"/>
            <charset val="204"/>
          </rPr>
          <t>Вы можете выбрать несколько ставок в случае экспресса</t>
        </r>
      </text>
    </comment>
    <comment ref="F2" authorId="0" shapeId="0" xr:uid="{00000000-0006-0000-0500-000008000000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G2" authorId="0" shapeId="0" xr:uid="{00000000-0006-0000-0500-000009000000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I2" authorId="0" shapeId="0" xr:uid="{00000000-0006-0000-0500-00000A000000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O2" authorId="0" shapeId="0" xr:uid="{00000000-0006-0000-0500-00000B000000}">
      <text>
        <r>
          <rPr>
            <b/>
            <sz val="9"/>
            <color indexed="81"/>
            <rFont val="Tahoma"/>
            <charset val="1"/>
          </rPr>
          <t>Через запятую вы можете писать любой чемпионат</t>
        </r>
      </text>
    </comment>
    <comment ref="P2" authorId="0" shapeId="0" xr:uid="{00000000-0006-0000-0500-00000C000000}">
      <text>
        <r>
          <rPr>
            <b/>
            <sz val="9"/>
            <color indexed="81"/>
            <rFont val="Tahoma"/>
            <charset val="1"/>
          </rPr>
          <t>Не ставил = Не рассчитано</t>
        </r>
      </text>
    </comment>
    <comment ref="Z2" authorId="0" shapeId="0" xr:uid="{6AD57B92-F074-4117-B9A1-7BAB2460DFB4}">
      <text>
        <r>
          <rPr>
            <b/>
            <sz val="9"/>
            <color indexed="81"/>
            <rFont val="Tahoma"/>
            <charset val="1"/>
          </rPr>
          <t>Если в столбце E2:E71 вы сотрёте значения "Моя", то в графике исхода, идеи ставки, идеи ставки будут закрывать друг друга. Если вы не будете стирать, то здесь (Z4) правильное значение появится только после заполнения всех 70-ти ставок. Приносим извинения за неудобства</t>
        </r>
      </text>
    </comment>
    <comment ref="AO12" authorId="0" shapeId="0" xr:uid="{00000000-0006-0000-0500-00000E000000}">
      <text>
        <r>
          <rPr>
            <b/>
            <sz val="9"/>
            <color indexed="81"/>
            <rFont val="Tahoma"/>
            <charset val="1"/>
          </rPr>
          <t>Выбирите из списка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D1" authorId="0" shapeId="0" xr:uid="{79A12C4A-96CE-4F5C-A391-327B8F1F9232}">
      <text>
        <r>
          <rPr>
            <b/>
            <sz val="9"/>
            <color indexed="81"/>
            <rFont val="Tahoma"/>
            <family val="2"/>
            <charset val="204"/>
          </rPr>
          <t>Выбрать из раскрывающего списка</t>
        </r>
      </text>
    </comment>
    <comment ref="E1" authorId="0" shapeId="0" xr:uid="{00000000-0006-0000-0600-000001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F1" authorId="0" shapeId="0" xr:uid="{00000000-0006-0000-0600-000002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G1" authorId="0" shapeId="0" xr:uid="{00000000-0006-0000-0600-000003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I1" authorId="0" shapeId="0" xr:uid="{00000000-0006-0000-0600-000004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N1" authorId="0" shapeId="0" xr:uid="{00000000-0006-0000-0600-000005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O1" authorId="0" shapeId="0" xr:uid="{00000000-0006-0000-0600-000006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P1" authorId="0" shapeId="0" xr:uid="{00000000-0006-0000-0600-000007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D2" authorId="0" shapeId="0" xr:uid="{C2F2B0C9-F4DD-4C4F-924D-5A10C60FB3CE}">
      <text>
        <r>
          <rPr>
            <b/>
            <sz val="9"/>
            <color indexed="81"/>
            <rFont val="Tahoma"/>
            <family val="2"/>
            <charset val="204"/>
          </rPr>
          <t>Вы можете выбрать несколько ставок в случае экспресса</t>
        </r>
      </text>
    </comment>
    <comment ref="F2" authorId="0" shapeId="0" xr:uid="{00000000-0006-0000-0600-000008000000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G2" authorId="0" shapeId="0" xr:uid="{00000000-0006-0000-0600-000009000000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I2" authorId="0" shapeId="0" xr:uid="{00000000-0006-0000-0600-00000A000000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O2" authorId="0" shapeId="0" xr:uid="{00000000-0006-0000-0600-00000B000000}">
      <text>
        <r>
          <rPr>
            <b/>
            <sz val="9"/>
            <color indexed="81"/>
            <rFont val="Tahoma"/>
            <charset val="1"/>
          </rPr>
          <t>Через запятую вы можете писать любой чемпионат</t>
        </r>
      </text>
    </comment>
    <comment ref="P2" authorId="0" shapeId="0" xr:uid="{00000000-0006-0000-0600-00000C000000}">
      <text>
        <r>
          <rPr>
            <b/>
            <sz val="9"/>
            <color indexed="81"/>
            <rFont val="Tahoma"/>
            <charset val="1"/>
          </rPr>
          <t>Не ставил = Не рассчитано</t>
        </r>
      </text>
    </comment>
    <comment ref="Z2" authorId="0" shapeId="0" xr:uid="{3271CF92-A62F-47D9-98E5-D4316283A84F}">
      <text>
        <r>
          <rPr>
            <b/>
            <sz val="9"/>
            <color indexed="81"/>
            <rFont val="Tahoma"/>
            <charset val="1"/>
          </rPr>
          <t>Если в столбце E2:E71 вы сотрёте значения "Моя", то в графике исхода, идеи ставки, идеи ставки будут закрывать друг друга. Если вы не будете стирать, то здесь (Z4) правильное значение появится только после заполнения всех 70-ти ставок. Приносим извинения за неудобства</t>
        </r>
      </text>
    </comment>
    <comment ref="AO12" authorId="0" shapeId="0" xr:uid="{00000000-0006-0000-0600-00000E000000}">
      <text>
        <r>
          <rPr>
            <b/>
            <sz val="9"/>
            <color indexed="81"/>
            <rFont val="Tahoma"/>
            <charset val="1"/>
          </rPr>
          <t>Выбирите из списка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D1" authorId="0" shapeId="0" xr:uid="{20B54177-02C7-466A-99DA-FCDC2C08EB3B}">
      <text>
        <r>
          <rPr>
            <b/>
            <sz val="9"/>
            <color indexed="81"/>
            <rFont val="Tahoma"/>
            <family val="2"/>
            <charset val="204"/>
          </rPr>
          <t>Выбрать из раскрывающего списка</t>
        </r>
      </text>
    </comment>
    <comment ref="E1" authorId="0" shapeId="0" xr:uid="{00000000-0006-0000-0700-000001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F1" authorId="0" shapeId="0" xr:uid="{00000000-0006-0000-0700-000002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G1" authorId="0" shapeId="0" xr:uid="{00000000-0006-0000-0700-000003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I1" authorId="0" shapeId="0" xr:uid="{00000000-0006-0000-0700-000004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N1" authorId="0" shapeId="0" xr:uid="{00000000-0006-0000-0700-000005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O1" authorId="0" shapeId="0" xr:uid="{00000000-0006-0000-0700-000006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P1" authorId="0" shapeId="0" xr:uid="{00000000-0006-0000-0700-000007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D2" authorId="0" shapeId="0" xr:uid="{B08C7FB8-AF4A-4ACA-BA23-9ED23ABF8A44}">
      <text>
        <r>
          <rPr>
            <b/>
            <sz val="9"/>
            <color indexed="81"/>
            <rFont val="Tahoma"/>
            <family val="2"/>
            <charset val="204"/>
          </rPr>
          <t>Вы можете выбрать несколько ставок в случае экспресса</t>
        </r>
      </text>
    </comment>
    <comment ref="F2" authorId="0" shapeId="0" xr:uid="{00000000-0006-0000-0700-000008000000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G2" authorId="0" shapeId="0" xr:uid="{00000000-0006-0000-0700-000009000000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I2" authorId="0" shapeId="0" xr:uid="{00000000-0006-0000-0700-00000A000000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O2" authorId="0" shapeId="0" xr:uid="{00000000-0006-0000-0700-00000B000000}">
      <text>
        <r>
          <rPr>
            <b/>
            <sz val="9"/>
            <color indexed="81"/>
            <rFont val="Tahoma"/>
            <charset val="1"/>
          </rPr>
          <t>Через запятую вы можете писать любой чемпионат</t>
        </r>
      </text>
    </comment>
    <comment ref="P2" authorId="0" shapeId="0" xr:uid="{00000000-0006-0000-0700-00000C000000}">
      <text>
        <r>
          <rPr>
            <b/>
            <sz val="9"/>
            <color indexed="81"/>
            <rFont val="Tahoma"/>
            <charset val="1"/>
          </rPr>
          <t>Не ставил = Не рассчитано</t>
        </r>
      </text>
    </comment>
    <comment ref="Z2" authorId="0" shapeId="0" xr:uid="{00237BCE-5FA5-43B2-A29F-B903D4DD99A7}">
      <text>
        <r>
          <rPr>
            <b/>
            <sz val="9"/>
            <color indexed="81"/>
            <rFont val="Tahoma"/>
            <charset val="1"/>
          </rPr>
          <t>Если в столбце E2:E71 вы сотрёте значения "Моя", то в графике исхода, идеи ставки, идеи ставки будут закрывать друг друга. Если вы не будете стирать, то здесь (Z4) правильное значение появится только после заполнения всех 70-ти ставок. Приносим извинения за неудобства</t>
        </r>
      </text>
    </comment>
    <comment ref="AO12" authorId="0" shapeId="0" xr:uid="{00000000-0006-0000-0700-00000E000000}">
      <text>
        <r>
          <rPr>
            <b/>
            <sz val="9"/>
            <color indexed="81"/>
            <rFont val="Tahoma"/>
            <charset val="1"/>
          </rPr>
          <t>Выбирите из списка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D1" authorId="0" shapeId="0" xr:uid="{9C6207E0-C77E-4D47-8DDA-683E59ECC9F5}">
      <text>
        <r>
          <rPr>
            <b/>
            <sz val="9"/>
            <color indexed="81"/>
            <rFont val="Tahoma"/>
            <family val="2"/>
            <charset val="204"/>
          </rPr>
          <t>Выбрать из раскрывающего списка</t>
        </r>
      </text>
    </comment>
    <comment ref="E1" authorId="0" shapeId="0" xr:uid="{00000000-0006-0000-0800-000001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F1" authorId="0" shapeId="0" xr:uid="{00000000-0006-0000-0800-000002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G1" authorId="0" shapeId="0" xr:uid="{00000000-0006-0000-0800-000003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I1" authorId="0" shapeId="0" xr:uid="{00000000-0006-0000-0800-000004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N1" authorId="0" shapeId="0" xr:uid="{00000000-0006-0000-0800-000005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O1" authorId="0" shapeId="0" xr:uid="{00000000-0006-0000-0800-000006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P1" authorId="0" shapeId="0" xr:uid="{00000000-0006-0000-0800-000007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D2" authorId="0" shapeId="0" xr:uid="{917B47E0-6623-4416-A8E1-9891D7FAF4D2}">
      <text>
        <r>
          <rPr>
            <b/>
            <sz val="9"/>
            <color indexed="81"/>
            <rFont val="Tahoma"/>
            <family val="2"/>
            <charset val="204"/>
          </rPr>
          <t>Вы можете выбрать несколько ставок в случае экспресса</t>
        </r>
      </text>
    </comment>
    <comment ref="F2" authorId="0" shapeId="0" xr:uid="{00000000-0006-0000-0800-000008000000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G2" authorId="0" shapeId="0" xr:uid="{00000000-0006-0000-0800-000009000000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I2" authorId="0" shapeId="0" xr:uid="{00000000-0006-0000-0800-00000A000000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O2" authorId="0" shapeId="0" xr:uid="{00000000-0006-0000-0800-00000B000000}">
      <text>
        <r>
          <rPr>
            <b/>
            <sz val="9"/>
            <color indexed="81"/>
            <rFont val="Tahoma"/>
            <charset val="1"/>
          </rPr>
          <t>Через запятую вы можете писать любой чемпионат</t>
        </r>
      </text>
    </comment>
    <comment ref="P2" authorId="0" shapeId="0" xr:uid="{00000000-0006-0000-0800-00000C000000}">
      <text>
        <r>
          <rPr>
            <b/>
            <sz val="9"/>
            <color indexed="81"/>
            <rFont val="Tahoma"/>
            <charset val="1"/>
          </rPr>
          <t>Не ставил = Не рассчитано</t>
        </r>
      </text>
    </comment>
    <comment ref="Z2" authorId="0" shapeId="0" xr:uid="{4D5786B0-D540-4622-8F76-CC4DF21A6CC1}">
      <text>
        <r>
          <rPr>
            <b/>
            <sz val="9"/>
            <color indexed="81"/>
            <rFont val="Tahoma"/>
            <charset val="1"/>
          </rPr>
          <t>Если в столбце E2:E71 вы сотрёте значения "Моя", то в графике исхода, идеи ставки, идеи ставки будут закрывать друг друга. Если вы не будете стирать, то здесь (Z4) правильное значение появится только после заполнения всех 70-ти ставок. Приносим извинения за неудобства</t>
        </r>
      </text>
    </comment>
    <comment ref="AO12" authorId="0" shapeId="0" xr:uid="{00000000-0006-0000-0800-00000E000000}">
      <text>
        <r>
          <rPr>
            <b/>
            <sz val="9"/>
            <color indexed="81"/>
            <rFont val="Tahoma"/>
            <charset val="1"/>
          </rPr>
          <t>Выбирите из списка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D1" authorId="0" shapeId="0" xr:uid="{48627973-6042-42A1-B49A-61571EE5F967}">
      <text>
        <r>
          <rPr>
            <b/>
            <sz val="9"/>
            <color indexed="81"/>
            <rFont val="Tahoma"/>
            <family val="2"/>
            <charset val="204"/>
          </rPr>
          <t>Выбрать из раскрывающего списка</t>
        </r>
      </text>
    </comment>
    <comment ref="E1" authorId="0" shapeId="0" xr:uid="{00000000-0006-0000-0900-000001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F1" authorId="0" shapeId="0" xr:uid="{00000000-0006-0000-0900-000002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G1" authorId="0" shapeId="0" xr:uid="{00000000-0006-0000-0900-000003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I1" authorId="0" shapeId="0" xr:uid="{00000000-0006-0000-0900-000004000000}">
      <text>
        <r>
          <rPr>
            <b/>
            <sz val="9"/>
            <color indexed="81"/>
            <rFont val="Tahoma"/>
            <charset val="1"/>
          </rPr>
          <t>Вписать самим</t>
        </r>
      </text>
    </comment>
    <comment ref="N1" authorId="0" shapeId="0" xr:uid="{00000000-0006-0000-0900-000005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O1" authorId="0" shapeId="0" xr:uid="{00000000-0006-0000-0900-000006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P1" authorId="0" shapeId="0" xr:uid="{00000000-0006-0000-0900-000007000000}">
      <text>
        <r>
          <rPr>
            <b/>
            <sz val="9"/>
            <color indexed="81"/>
            <rFont val="Tahoma"/>
            <charset val="1"/>
          </rPr>
          <t>Выбрать из раскрывающегося списка</t>
        </r>
      </text>
    </comment>
    <comment ref="D2" authorId="0" shapeId="0" xr:uid="{BBD577E1-38E3-4E9F-97E7-4D5DC7F12FEB}">
      <text>
        <r>
          <rPr>
            <b/>
            <sz val="9"/>
            <color indexed="81"/>
            <rFont val="Tahoma"/>
            <family val="2"/>
            <charset val="204"/>
          </rPr>
          <t>Вы можете выбрать несколько ставок в случае экспресса</t>
        </r>
      </text>
    </comment>
    <comment ref="F2" authorId="0" shapeId="0" xr:uid="{00000000-0006-0000-0900-000008000000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G2" authorId="0" shapeId="0" xr:uid="{00000000-0006-0000-0900-000009000000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I2" authorId="0" shapeId="0" xr:uid="{00000000-0006-0000-0900-00000A000000}">
      <text>
        <r>
          <rPr>
            <b/>
            <sz val="9"/>
            <color indexed="81"/>
            <rFont val="Tahoma"/>
            <family val="2"/>
            <charset val="204"/>
          </rPr>
          <t>После запятой пробел НЕ СТАВИТЬ!</t>
        </r>
      </text>
    </comment>
    <comment ref="O2" authorId="0" shapeId="0" xr:uid="{00000000-0006-0000-0900-00000B000000}">
      <text>
        <r>
          <rPr>
            <b/>
            <sz val="9"/>
            <color indexed="81"/>
            <rFont val="Tahoma"/>
            <charset val="1"/>
          </rPr>
          <t>Через запятую вы можете писать любой чемпионат</t>
        </r>
      </text>
    </comment>
    <comment ref="P2" authorId="0" shapeId="0" xr:uid="{00000000-0006-0000-0900-00000C000000}">
      <text>
        <r>
          <rPr>
            <b/>
            <sz val="9"/>
            <color indexed="81"/>
            <rFont val="Tahoma"/>
            <charset val="1"/>
          </rPr>
          <t>Не ставил = Не рассчитано</t>
        </r>
      </text>
    </comment>
    <comment ref="Z2" authorId="0" shapeId="0" xr:uid="{E0CC4494-2976-46AD-B6C2-4978C59259F6}">
      <text>
        <r>
          <rPr>
            <b/>
            <sz val="9"/>
            <color indexed="81"/>
            <rFont val="Tahoma"/>
            <charset val="1"/>
          </rPr>
          <t>Если в столбце E2:E71 вы сотрёте значения "Моя", то в графике исхода, идеи ставки, идеи ставки будут закрывать друг друга. Если вы не будете стирать, то здесь (Z4) правильное значение появится только после заполнения всех 70-ти ставок. Приносим извинения за неудобства</t>
        </r>
      </text>
    </comment>
    <comment ref="AO12" authorId="0" shapeId="0" xr:uid="{00000000-0006-0000-0900-00000E000000}">
      <text>
        <r>
          <rPr>
            <b/>
            <sz val="9"/>
            <color indexed="81"/>
            <rFont val="Tahoma"/>
            <charset val="1"/>
          </rPr>
          <t>Выбирите из списка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F1" authorId="0" shapeId="0" xr:uid="{00000000-0006-0000-0A00-000001000000}">
      <text>
        <r>
          <rPr>
            <b/>
            <sz val="9"/>
            <color indexed="81"/>
            <rFont val="Tahoma"/>
            <charset val="1"/>
          </rPr>
          <t>Отображает количество побед в лучшей кассе. Номер кассы посмотрите в Мастерской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1 касса!$N$2:$P$51" type="102" refreshedVersion="8" minRefreshableVersion="5">
    <extLst>
      <ext xmlns:x15="http://schemas.microsoft.com/office/spreadsheetml/2010/11/main" uri="{DE250136-89BD-433C-8126-D09CA5730AF9}">
        <x15:connection id="Диапазон" autoDelete="1">
          <x15:rangePr sourceName="_xlcn.WorksheetConnection_1кассаN2P511"/>
        </x15:connection>
      </ext>
    </extLst>
  </connection>
  <connection id="3" xr16:uid="{1C742F99-DE39-4A8E-8EBE-EED4447D5ABC}" keepAlive="1" name="Запрос — Table 0 (3)" description="Соединение с запросом &quot;Table 0 (3)&quot; в книге." type="5" refreshedVersion="8" background="1" saveData="1">
    <dbPr connection="Provider=Microsoft.Mashup.OleDb.1;Data Source=$Workbook$;Location=&quot;Table 0 (3)&quot;;Extended Properties=&quot;&quot;" command="SELECT * FROM [Table 0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<sst xmlns="http://schemas.openxmlformats.org/spreadsheetml/2006/main" count="2630" uniqueCount="246">
  <si>
    <t>Введено</t>
  </si>
  <si>
    <t>Выведено</t>
  </si>
  <si>
    <t>Сумма ставки</t>
  </si>
  <si>
    <t>Вид ставки</t>
  </si>
  <si>
    <t>Коэффициент</t>
  </si>
  <si>
    <t>Идея ставки</t>
  </si>
  <si>
    <t>% от общего капитала</t>
  </si>
  <si>
    <t>Риск (% возможности проигрыша)</t>
  </si>
  <si>
    <t>Шанс победы (обратное риску)</t>
  </si>
  <si>
    <t>Выигрыш составит</t>
  </si>
  <si>
    <t>Общий капитал на момент ставки</t>
  </si>
  <si>
    <t>% выигрыша в сравнении с общим капиталом (увеличится на … %)</t>
  </si>
  <si>
    <t>Итог в цифрах (победа - 1, поражение - 0)</t>
  </si>
  <si>
    <t>Процент побед</t>
  </si>
  <si>
    <t>Кол-во ставок</t>
  </si>
  <si>
    <t>Победа</t>
  </si>
  <si>
    <t>Моя</t>
  </si>
  <si>
    <t>Экспресс</t>
  </si>
  <si>
    <t>Поражение</t>
  </si>
  <si>
    <t>Итог ставки</t>
  </si>
  <si>
    <t>Вид спорта - чемпионат</t>
  </si>
  <si>
    <t>Футбол - Кубок России</t>
  </si>
  <si>
    <t>Футбол - Кубок Англии</t>
  </si>
  <si>
    <t>Футбол - Англия. Кубок Лиги</t>
  </si>
  <si>
    <t>Футбол - Англия. Чемпионшип</t>
  </si>
  <si>
    <t>Футбол - Россия. ФНЛ</t>
  </si>
  <si>
    <t>Другое</t>
  </si>
  <si>
    <t>Футбол - Франция. Лига 1</t>
  </si>
  <si>
    <t>Футбол - Германия. Бундеслига</t>
  </si>
  <si>
    <t>Футбол - Италия. Серия А</t>
  </si>
  <si>
    <t>Футбол - Испания. Ла Лига</t>
  </si>
  <si>
    <t>Футбол - Португалия. Лига NOS</t>
  </si>
  <si>
    <t>Футбол - Лига Европы УЕФА</t>
  </si>
  <si>
    <t>Футбол - Лига Чемпионов УЕФА</t>
  </si>
  <si>
    <t>Футбол - Турция. Суперлига</t>
  </si>
  <si>
    <t>Футбол - Нидерланды. Эредивизи</t>
  </si>
  <si>
    <t>Футбол - Россия. Другое</t>
  </si>
  <si>
    <t>Друга</t>
  </si>
  <si>
    <t>Знакомого</t>
  </si>
  <si>
    <t>Не ставил</t>
  </si>
  <si>
    <t>Фрибет</t>
  </si>
  <si>
    <t>Футбол - Еврокубки. Другое</t>
  </si>
  <si>
    <t>Футбол - Сборные. Чемпионат Европы</t>
  </si>
  <si>
    <t>Футбол - Сборные. Лига Наций</t>
  </si>
  <si>
    <t>Футбол - Сборные. Кубок Азии</t>
  </si>
  <si>
    <t>Футбол - Сборные. Кубок Африки</t>
  </si>
  <si>
    <t>Футбол - Сборные.  Другое</t>
  </si>
  <si>
    <t>Хоккей - КХЛ</t>
  </si>
  <si>
    <t>Хоккей - НХЛ</t>
  </si>
  <si>
    <t>Хоккей - Сборные. Евротур</t>
  </si>
  <si>
    <t>Смешанные единоборства - UFC</t>
  </si>
  <si>
    <t>Смешанные единоборства - Bellator</t>
  </si>
  <si>
    <t>Смешанные единоборства - M-1</t>
  </si>
  <si>
    <t>Смешанные единоборства - Fight Nights Global</t>
  </si>
  <si>
    <t>Бокс - WBA</t>
  </si>
  <si>
    <t>Теннис - Кубок Дэвиса</t>
  </si>
  <si>
    <t>Теннис - Кубок Федерации</t>
  </si>
  <si>
    <t>Теннис - Кубок Кремля</t>
  </si>
  <si>
    <t>Бокс - IBO</t>
  </si>
  <si>
    <t>Баскетбол - Евролига</t>
  </si>
  <si>
    <t>Баскетбол - Еврокубок</t>
  </si>
  <si>
    <t>Формула-1</t>
  </si>
  <si>
    <t>Купил</t>
  </si>
  <si>
    <t>Любимый вид ставки</t>
  </si>
  <si>
    <t>Средний риск</t>
  </si>
  <si>
    <t>Любимая ставка (средние значения)</t>
  </si>
  <si>
    <t>Любимый чемпионат</t>
  </si>
  <si>
    <t>Соц. Сети</t>
  </si>
  <si>
    <t>Кол-во побед</t>
  </si>
  <si>
    <t>Кол-во поражений</t>
  </si>
  <si>
    <t>Процент поражений</t>
  </si>
  <si>
    <t>Лучшая касса</t>
  </si>
  <si>
    <t>Футбол - Греция. Суперлига</t>
  </si>
  <si>
    <t>Биатлон - Кубок мира</t>
  </si>
  <si>
    <t>Футбол - Кубок Либертадорес</t>
  </si>
  <si>
    <t>Биатлон - Кубок IBU</t>
  </si>
  <si>
    <t>Биатлон - Чемпионат мира</t>
  </si>
  <si>
    <t>Волейбол - Евролига</t>
  </si>
  <si>
    <t>Волейбол - Чемпионат России</t>
  </si>
  <si>
    <t>Футбол - Украина. УПЛ</t>
  </si>
  <si>
    <t>Футбол - США/Канада. MLS</t>
  </si>
  <si>
    <t>Футбол - Англия. АПЛ</t>
  </si>
  <si>
    <t>Футбол - Россия. РПЛ</t>
  </si>
  <si>
    <t>Футбол - Россия. ПФЛ</t>
  </si>
  <si>
    <t>Максимальная сумма ставки</t>
  </si>
  <si>
    <t>Минимальная сумма ставки</t>
  </si>
  <si>
    <t>Максимальный коэффициент</t>
  </si>
  <si>
    <t>Минимальный коэффициент</t>
  </si>
  <si>
    <t>Максимальные показатели</t>
  </si>
  <si>
    <t>Другая информация (например, дата ставки или букмекерская контора)</t>
  </si>
  <si>
    <t>Вид ставки и кол-во</t>
  </si>
  <si>
    <t>Футбол - Китай. Суперлига</t>
  </si>
  <si>
    <t>Футбол - Бразилия. Сериа А</t>
  </si>
  <si>
    <t>Футбол - Аргентина. Суперлига</t>
  </si>
  <si>
    <t>Футбол - Сборные. Кубок Америки</t>
  </si>
  <si>
    <t>Футбол - Сборные. КОНКАКАФ</t>
  </si>
  <si>
    <t>Теннис - Australian Open</t>
  </si>
  <si>
    <t>Теннис - Франция. Ролан Гаррос</t>
  </si>
  <si>
    <t>Теннис - US Open</t>
  </si>
  <si>
    <t>Теннис - Уимблдон. ATP</t>
  </si>
  <si>
    <t>Теннис - Уимблдон. WTA</t>
  </si>
  <si>
    <t>Баскетбол - Россия. Единая Лига ВТБ</t>
  </si>
  <si>
    <t>Биатлон - Чемпионат Европы</t>
  </si>
  <si>
    <t>Киберспорт - The International. Dota 2 Championships</t>
  </si>
  <si>
    <t>Бокс - WBC</t>
  </si>
  <si>
    <t>Бокс - WBO</t>
  </si>
  <si>
    <t>Бокс - IBF</t>
  </si>
  <si>
    <t>Баскетбол - Лига Чемпионов</t>
  </si>
  <si>
    <t>Вид и кол-во ваших ставок</t>
  </si>
  <si>
    <t>Футбол</t>
  </si>
  <si>
    <t>Хоккей</t>
  </si>
  <si>
    <t>Смешанные единоборства</t>
  </si>
  <si>
    <t>Бокс</t>
  </si>
  <si>
    <t>Теннис</t>
  </si>
  <si>
    <t>Баскетбол</t>
  </si>
  <si>
    <t>Волейбол</t>
  </si>
  <si>
    <t>Биатлон</t>
  </si>
  <si>
    <t>Киберспорт</t>
  </si>
  <si>
    <t>Футбол - Сборные. Чемпионат мира</t>
  </si>
  <si>
    <t>Максимальный выигрыш</t>
  </si>
  <si>
    <t>Минимальный выигрыш</t>
  </si>
  <si>
    <t>Максимальный проигрыш</t>
  </si>
  <si>
    <t>Минимальный проигрыш</t>
  </si>
  <si>
    <t>Максимальный выигрыш мог бы составить/составил</t>
  </si>
  <si>
    <t>Хоккей - Сборные. Чемпионат мира</t>
  </si>
  <si>
    <t>Баскетбол - США. NBA</t>
  </si>
  <si>
    <t>Баскетбол - Сборные. Чемпионат мира</t>
  </si>
  <si>
    <t>Баскетбол - Сборные. Чемпионат Европы</t>
  </si>
  <si>
    <t>Волейбол - Сборные. Всемирный Кубок Чемпионов</t>
  </si>
  <si>
    <t>Волейбол - Сборные. Чемпионат мира</t>
  </si>
  <si>
    <t>Волейбол - Сборные. Кубок мира</t>
  </si>
  <si>
    <t>Волейбол - Сборные. Лига наций</t>
  </si>
  <si>
    <t>Волейбол - Сборные. Чемпионат Европы</t>
  </si>
  <si>
    <t>Мини-футбол - Сборные. Чемпионат мира</t>
  </si>
  <si>
    <t>Мини-футбол - Сборные. Чемпионат Европы</t>
  </si>
  <si>
    <t>Мини-футбол - Лига Чемпионов УЕФА</t>
  </si>
  <si>
    <t>Мини-футбол - Россия. Суперлига</t>
  </si>
  <si>
    <t>Мини-футбол - Бразилия. Лига футзала</t>
  </si>
  <si>
    <t>Пляжный футбол - Сборные. Чемпионат мира</t>
  </si>
  <si>
    <t>Пляжный футбол - Сборные. Межконтинентальный кубок</t>
  </si>
  <si>
    <t>Пляжный футбол - Сборные. Кубок Европы</t>
  </si>
  <si>
    <t>Пляжный футбол - Кубок европейских чемпионов</t>
  </si>
  <si>
    <t>Пляжный футбол - Чемпионат России</t>
  </si>
  <si>
    <t>Бейсбол</t>
  </si>
  <si>
    <t>Гандбол</t>
  </si>
  <si>
    <t>Настольный теннис</t>
  </si>
  <si>
    <t>Скачки</t>
  </si>
  <si>
    <t>Настольный теннис - Сборные. Чемпионат мира</t>
  </si>
  <si>
    <t>Настольный теннис - Сборные. Чемпионат Европы</t>
  </si>
  <si>
    <t>Хоккей с мячом - Сборные. Чемпионат мира</t>
  </si>
  <si>
    <t>Хоккей с мячом - Россия. Суперлига</t>
  </si>
  <si>
    <t>Мини-футбол</t>
  </si>
  <si>
    <t>Пляжный футбол</t>
  </si>
  <si>
    <t>Американский футбол</t>
  </si>
  <si>
    <t>Хоккей с мячом</t>
  </si>
  <si>
    <t>Снукер</t>
  </si>
  <si>
    <t>Лыжные гонки</t>
  </si>
  <si>
    <t>Водное поло</t>
  </si>
  <si>
    <t>Лёгкая атлетика</t>
  </si>
  <si>
    <t>Тяжёлая атлетика</t>
  </si>
  <si>
    <t>Кёрлинг</t>
  </si>
  <si>
    <t>Регби</t>
  </si>
  <si>
    <t>Пляжный волейбол</t>
  </si>
  <si>
    <t>Гольф</t>
  </si>
  <si>
    <t>Прыжки с трамплина</t>
  </si>
  <si>
    <t>1 касса</t>
  </si>
  <si>
    <t>2 касса</t>
  </si>
  <si>
    <t>3 касса</t>
  </si>
  <si>
    <t>4 касса</t>
  </si>
  <si>
    <t>5 касса</t>
  </si>
  <si>
    <t>6 касса</t>
  </si>
  <si>
    <t>7 касса</t>
  </si>
  <si>
    <t>8 касса</t>
  </si>
  <si>
    <t>9 касса</t>
  </si>
  <si>
    <t>10 касса</t>
  </si>
  <si>
    <t>Максимальные и минимальные показатели</t>
  </si>
  <si>
    <t>Киберспорт - Другое</t>
  </si>
  <si>
    <t>Вид спорта и кол-во ваших ставок (сквозное)</t>
  </si>
  <si>
    <t>Одинар</t>
  </si>
  <si>
    <t>Ставка</t>
  </si>
  <si>
    <t>Победитель</t>
  </si>
  <si>
    <t>Ничья</t>
  </si>
  <si>
    <t>Двойной шанс</t>
  </si>
  <si>
    <t>Победитель (при ничьей - возврат)</t>
  </si>
  <si>
    <t>Фора</t>
  </si>
  <si>
    <t>Тотал</t>
  </si>
  <si>
    <t>Точный счёт</t>
  </si>
  <si>
    <t>Точный счёт + исход "Другой"</t>
  </si>
  <si>
    <t>Победитель - 1-й тайм/Осн.время</t>
  </si>
  <si>
    <t>Кол-во голов</t>
  </si>
  <si>
    <t>Инд. Тотал</t>
  </si>
  <si>
    <t>Обе команды забьют</t>
  </si>
  <si>
    <t>Сколько команд забьёт</t>
  </si>
  <si>
    <t>Кто забьёт 1-й гол</t>
  </si>
  <si>
    <t>Кто забьёт последний гол</t>
  </si>
  <si>
    <t>Наиболее результативный тайм</t>
  </si>
  <si>
    <t>Чет/нечет</t>
  </si>
  <si>
    <t>Победитель + Разница мячей</t>
  </si>
  <si>
    <t>Победитель + Обе забьют</t>
  </si>
  <si>
    <t>Автор гола</t>
  </si>
  <si>
    <t>Лучший бомбардир</t>
  </si>
  <si>
    <t>Победитель турнира</t>
  </si>
  <si>
    <t>Количество ваших ставок</t>
  </si>
  <si>
    <t>Победитель + Тотал</t>
  </si>
  <si>
    <t>№</t>
  </si>
  <si>
    <t>Команда</t>
  </si>
  <si>
    <t>И</t>
  </si>
  <si>
    <t>О</t>
  </si>
  <si>
    <t>Форма</t>
  </si>
  <si>
    <t>1</t>
  </si>
  <si>
    <t>Зенит</t>
  </si>
  <si>
    <t/>
  </si>
  <si>
    <t>2</t>
  </si>
  <si>
    <t>Спартак М</t>
  </si>
  <si>
    <t>3</t>
  </si>
  <si>
    <t>Ростов</t>
  </si>
  <si>
    <t>4</t>
  </si>
  <si>
    <t>Динамо М</t>
  </si>
  <si>
    <t>5</t>
  </si>
  <si>
    <t>ЦСКА</t>
  </si>
  <si>
    <t>6</t>
  </si>
  <si>
    <t>Ахмат</t>
  </si>
  <si>
    <t>7</t>
  </si>
  <si>
    <t>Краснодар</t>
  </si>
  <si>
    <t>8</t>
  </si>
  <si>
    <t>Оренбург</t>
  </si>
  <si>
    <t>9</t>
  </si>
  <si>
    <t>Сочи</t>
  </si>
  <si>
    <t>10</t>
  </si>
  <si>
    <t>Урал</t>
  </si>
  <si>
    <t>11</t>
  </si>
  <si>
    <t>Крылья Советов</t>
  </si>
  <si>
    <t>12</t>
  </si>
  <si>
    <t>Локомотив М</t>
  </si>
  <si>
    <t>13</t>
  </si>
  <si>
    <t>Пари Нижний Новгород</t>
  </si>
  <si>
    <t>14</t>
  </si>
  <si>
    <t>Факел</t>
  </si>
  <si>
    <t>15                        Зона вылета</t>
  </si>
  <si>
    <t>16                        Зона вылета</t>
  </si>
  <si>
    <t>Рубин</t>
  </si>
  <si>
    <t>Балтика</t>
  </si>
  <si>
    <t>Всего введено</t>
  </si>
  <si>
    <t>Всего выведено</t>
  </si>
  <si>
    <t>Общая выручка</t>
  </si>
  <si>
    <r>
      <rPr>
        <sz val="11"/>
        <color theme="1"/>
        <rFont val="Calibri"/>
        <family val="2"/>
        <charset val="204"/>
      </rPr>
      <t>↑↔</t>
    </r>
    <r>
      <rPr>
        <sz val="11"/>
        <color theme="1"/>
        <rFont val="Calibri"/>
        <family val="2"/>
        <scheme val="minor"/>
      </rPr>
      <t xml:space="preserve">  Первые 10 касс. Для добавления следующих касс в этот лист, следует перейти в документ "Информация" - "Все кассы"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</si>
</sst>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\ &quot;₽&quot;"/>
    <numFmt numFmtId="165" formatCode="0.000000000000%"/>
    <numFmt numFmtId="166" formatCode="0.000000000000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charset val="1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29">
    <xf numFmtId="0" fontId="0" fillId="0" borderId="0" xfId="0"/>
    <xf numFmtId="0" fontId="0" fillId="0" borderId="1" xfId="0" applyBorder="1"/>
    <xf numFmtId="0" fontId="0" fillId="0" borderId="0" xfId="0" applyAlignment="1">
      <alignment horizontal="center" vertical="center"/>
    </xf>
    <xf numFmtId="9" fontId="0" fillId="0" borderId="0" xfId="1" applyFont="1" applyBorder="1"/>
    <xf numFmtId="0" fontId="0" fillId="0" borderId="7" xfId="0" applyBorder="1"/>
    <xf numFmtId="0" fontId="0" fillId="0" borderId="9" xfId="0" applyBorder="1"/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3" borderId="12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164" fontId="0" fillId="0" borderId="1" xfId="0" applyNumberFormat="1" applyBorder="1" applyAlignment="1">
      <alignment horizontal="right" vertical="center"/>
    </xf>
    <xf numFmtId="2" fontId="0" fillId="0" borderId="1" xfId="1" applyNumberFormat="1" applyFon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right"/>
    </xf>
    <xf numFmtId="0" fontId="0" fillId="0" borderId="9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164" fontId="0" fillId="0" borderId="9" xfId="0" applyNumberFormat="1" applyBorder="1" applyAlignment="1">
      <alignment horizontal="right"/>
    </xf>
    <xf numFmtId="2" fontId="0" fillId="0" borderId="9" xfId="1" applyNumberFormat="1" applyFont="1" applyBorder="1" applyAlignment="1">
      <alignment horizontal="right"/>
    </xf>
    <xf numFmtId="164" fontId="0" fillId="0" borderId="1" xfId="0" applyNumberFormat="1" applyBorder="1" applyAlignment="1">
      <alignment horizontal="right"/>
    </xf>
    <xf numFmtId="2" fontId="0" fillId="0" borderId="1" xfId="1" applyNumberFormat="1" applyFont="1" applyBorder="1" applyAlignment="1">
      <alignment horizontal="right"/>
    </xf>
    <xf numFmtId="164" fontId="0" fillId="0" borderId="7" xfId="0" applyNumberFormat="1" applyBorder="1" applyAlignment="1">
      <alignment horizontal="right"/>
    </xf>
    <xf numFmtId="2" fontId="0" fillId="0" borderId="7" xfId="1" applyNumberFormat="1" applyFont="1" applyBorder="1" applyAlignment="1">
      <alignment horizontal="right"/>
    </xf>
    <xf numFmtId="0" fontId="0" fillId="0" borderId="0" xfId="0" applyAlignment="1">
      <alignment vertical="center"/>
    </xf>
    <xf numFmtId="0" fontId="0" fillId="0" borderId="9" xfId="0" applyBorder="1" applyAlignment="1">
      <alignment horizontal="left" vertical="top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right"/>
    </xf>
    <xf numFmtId="0" fontId="0" fillId="0" borderId="20" xfId="0" applyBorder="1" applyAlignment="1">
      <alignment horizontal="right"/>
    </xf>
    <xf numFmtId="0" fontId="0" fillId="0" borderId="0" xfId="0" applyAlignment="1">
      <alignment horizontal="left" vertical="center" wrapText="1"/>
    </xf>
    <xf numFmtId="0" fontId="0" fillId="0" borderId="1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1" xfId="0" applyBorder="1" applyAlignment="1">
      <alignment horizontal="right" vertical="center"/>
    </xf>
    <xf numFmtId="0" fontId="0" fillId="0" borderId="7" xfId="0" applyBorder="1" applyAlignment="1">
      <alignment horizontal="right"/>
    </xf>
    <xf numFmtId="0" fontId="0" fillId="0" borderId="21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4" borderId="14" xfId="0" applyFill="1" applyBorder="1"/>
    <xf numFmtId="9" fontId="0" fillId="4" borderId="15" xfId="1" applyFont="1" applyFill="1" applyBorder="1"/>
    <xf numFmtId="9" fontId="0" fillId="4" borderId="16" xfId="1" applyFont="1" applyFill="1" applyBorder="1"/>
    <xf numFmtId="0" fontId="0" fillId="0" borderId="0" xfId="0" applyAlignment="1">
      <alignment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7" xfId="0" applyFill="1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8" xfId="0" applyFill="1" applyBorder="1"/>
    <xf numFmtId="0" fontId="0" fillId="4" borderId="10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1" xfId="0" applyFill="1" applyBorder="1"/>
    <xf numFmtId="0" fontId="0" fillId="4" borderId="6" xfId="0" applyFill="1" applyBorder="1"/>
    <xf numFmtId="0" fontId="0" fillId="4" borderId="22" xfId="0" applyFill="1" applyBorder="1"/>
    <xf numFmtId="0" fontId="0" fillId="4" borderId="23" xfId="0" applyFill="1" applyBorder="1"/>
    <xf numFmtId="0" fontId="0" fillId="0" borderId="4" xfId="0" applyBorder="1"/>
    <xf numFmtId="164" fontId="0" fillId="0" borderId="27" xfId="0" applyNumberFormat="1" applyBorder="1"/>
    <xf numFmtId="0" fontId="0" fillId="0" borderId="27" xfId="0" applyBorder="1"/>
    <xf numFmtId="164" fontId="0" fillId="0" borderId="0" xfId="0" applyNumberFormat="1"/>
    <xf numFmtId="9" fontId="0" fillId="0" borderId="0" xfId="0" applyNumberFormat="1"/>
    <xf numFmtId="0" fontId="0" fillId="4" borderId="15" xfId="1" applyNumberFormat="1" applyFont="1" applyFill="1" applyBorder="1"/>
    <xf numFmtId="0" fontId="0" fillId="4" borderId="16" xfId="1" applyNumberFormat="1" applyFont="1" applyFill="1" applyBorder="1"/>
    <xf numFmtId="0" fontId="0" fillId="4" borderId="12" xfId="0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0" fillId="0" borderId="5" xfId="0" applyBorder="1"/>
    <xf numFmtId="2" fontId="0" fillId="0" borderId="9" xfId="0" applyNumberFormat="1" applyBorder="1" applyAlignment="1">
      <alignment horizontal="right"/>
    </xf>
    <xf numFmtId="165" fontId="0" fillId="0" borderId="9" xfId="1" applyNumberFormat="1" applyFont="1" applyBorder="1" applyAlignment="1">
      <alignment horizontal="right"/>
    </xf>
    <xf numFmtId="166" fontId="0" fillId="0" borderId="9" xfId="1" applyNumberFormat="1" applyFont="1" applyBorder="1" applyAlignment="1">
      <alignment horizontal="right"/>
    </xf>
    <xf numFmtId="165" fontId="0" fillId="0" borderId="1" xfId="1" applyNumberFormat="1" applyFont="1" applyBorder="1" applyAlignment="1">
      <alignment horizontal="right"/>
    </xf>
    <xf numFmtId="165" fontId="0" fillId="0" borderId="1" xfId="1" applyNumberFormat="1" applyFont="1" applyBorder="1" applyAlignment="1">
      <alignment horizontal="right" vertical="center"/>
    </xf>
    <xf numFmtId="165" fontId="0" fillId="0" borderId="7" xfId="1" applyNumberFormat="1" applyFont="1" applyBorder="1" applyAlignment="1">
      <alignment horizontal="right"/>
    </xf>
    <xf numFmtId="165" fontId="0" fillId="0" borderId="0" xfId="0" applyNumberFormat="1"/>
    <xf numFmtId="165" fontId="0" fillId="0" borderId="0" xfId="0" applyNumberFormat="1" applyAlignment="1">
      <alignment horizontal="right"/>
    </xf>
    <xf numFmtId="166" fontId="0" fillId="0" borderId="1" xfId="1" applyNumberFormat="1" applyFont="1" applyBorder="1" applyAlignment="1">
      <alignment horizontal="right"/>
    </xf>
    <xf numFmtId="166" fontId="0" fillId="0" borderId="1" xfId="1" applyNumberFormat="1" applyFont="1" applyBorder="1" applyAlignment="1">
      <alignment horizontal="right" vertical="center"/>
    </xf>
    <xf numFmtId="166" fontId="0" fillId="0" borderId="7" xfId="1" applyNumberFormat="1" applyFont="1" applyBorder="1" applyAlignment="1">
      <alignment horizontal="right"/>
    </xf>
    <xf numFmtId="166" fontId="0" fillId="0" borderId="0" xfId="0" applyNumberFormat="1"/>
    <xf numFmtId="166" fontId="0" fillId="0" borderId="0" xfId="0" applyNumberFormat="1" applyAlignment="1">
      <alignment horizontal="right"/>
    </xf>
    <xf numFmtId="0" fontId="0" fillId="0" borderId="11" xfId="0" applyBorder="1" applyAlignment="1">
      <alignment horizontal="center" vertical="center" wrapText="1"/>
    </xf>
    <xf numFmtId="0" fontId="0" fillId="0" borderId="14" xfId="0" applyBorder="1"/>
    <xf numFmtId="0" fontId="0" fillId="0" borderId="28" xfId="0" applyBorder="1"/>
    <xf numFmtId="0" fontId="0" fillId="0" borderId="16" xfId="0" applyBorder="1"/>
    <xf numFmtId="9" fontId="0" fillId="0" borderId="28" xfId="1" applyFont="1" applyBorder="1"/>
    <xf numFmtId="9" fontId="0" fillId="0" borderId="27" xfId="1" applyFont="1" applyBorder="1"/>
    <xf numFmtId="0" fontId="0" fillId="0" borderId="0" xfId="0" applyAlignment="1">
      <alignment wrapText="1"/>
    </xf>
    <xf numFmtId="0" fontId="0" fillId="0" borderId="27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left" vertical="top"/>
    </xf>
    <xf numFmtId="0" fontId="0" fillId="0" borderId="36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49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4" xfId="0" applyNumberFormat="1" applyBorder="1" applyAlignment="1">
      <alignment horizontal="center" vertical="center"/>
    </xf>
    <xf numFmtId="0" fontId="0" fillId="0" borderId="9" xfId="1" applyNumberFormat="1" applyFont="1" applyBorder="1" applyAlignment="1">
      <alignment horizontal="right"/>
    </xf>
    <xf numFmtId="2" fontId="0" fillId="0" borderId="27" xfId="0" applyNumberFormat="1" applyBorder="1"/>
    <xf numFmtId="0" fontId="0" fillId="0" borderId="35" xfId="0" applyBorder="1" applyAlignment="1">
      <alignment horizontal="center" vertical="center" wrapText="1"/>
    </xf>
    <xf numFmtId="0" fontId="0" fillId="0" borderId="4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39" xfId="0" applyBorder="1" applyAlignment="1">
      <alignment horizontal="left"/>
    </xf>
    <xf numFmtId="0" fontId="0" fillId="0" borderId="64" xfId="0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0" fillId="0" borderId="65" xfId="0" applyBorder="1" applyAlignment="1">
      <alignment horizontal="center" vertical="center" wrapText="1"/>
    </xf>
    <xf numFmtId="0" fontId="0" fillId="0" borderId="66" xfId="0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65" xfId="0" applyBorder="1" applyAlignment="1">
      <alignment horizontal="left" vertical="top"/>
    </xf>
    <xf numFmtId="16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left" vertical="center"/>
    </xf>
    <xf numFmtId="0" fontId="0" fillId="0" borderId="20" xfId="0" applyBorder="1" applyAlignment="1">
      <alignment horizontal="right" vertical="center"/>
    </xf>
    <xf numFmtId="0" fontId="0" fillId="0" borderId="1" xfId="0" applyBorder="1" applyAlignment="1">
      <alignment vertical="center"/>
    </xf>
    <xf numFmtId="0" fontId="0" fillId="0" borderId="9" xfId="0" applyBorder="1" applyAlignment="1">
      <alignment horizontal="left" vertical="center" wrapText="1"/>
    </xf>
    <xf numFmtId="0" fontId="0" fillId="0" borderId="7" xfId="0" applyBorder="1" applyAlignment="1">
      <alignment vertical="center"/>
    </xf>
    <xf numFmtId="2" fontId="0" fillId="0" borderId="9" xfId="1" applyNumberFormat="1" applyFont="1" applyBorder="1" applyAlignment="1">
      <alignment horizontal="right" vertical="center"/>
    </xf>
    <xf numFmtId="165" fontId="0" fillId="0" borderId="9" xfId="1" applyNumberFormat="1" applyFont="1" applyBorder="1" applyAlignment="1">
      <alignment horizontal="right" vertical="center"/>
    </xf>
    <xf numFmtId="166" fontId="0" fillId="0" borderId="9" xfId="1" applyNumberFormat="1" applyFont="1" applyBorder="1" applyAlignment="1">
      <alignment horizontal="right" vertical="center"/>
    </xf>
    <xf numFmtId="0" fontId="0" fillId="0" borderId="9" xfId="0" applyBorder="1" applyAlignment="1">
      <alignment vertical="center"/>
    </xf>
    <xf numFmtId="0" fontId="0" fillId="0" borderId="19" xfId="0" applyBorder="1" applyAlignment="1">
      <alignment horizontal="right" vertical="center"/>
    </xf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70" xfId="0" applyBorder="1"/>
    <xf numFmtId="0" fontId="0" fillId="0" borderId="71" xfId="0" applyBorder="1"/>
    <xf numFmtId="0" fontId="0" fillId="0" borderId="39" xfId="0" applyBorder="1" applyAlignment="1">
      <alignment horizontal="left" vertical="center"/>
    </xf>
    <xf numFmtId="0" fontId="0" fillId="0" borderId="72" xfId="0" applyBorder="1"/>
    <xf numFmtId="0" fontId="0" fillId="0" borderId="67" xfId="0" applyBorder="1" applyAlignment="1">
      <alignment horizontal="center" vertical="center" wrapText="1"/>
    </xf>
    <xf numFmtId="0" fontId="0" fillId="0" borderId="35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36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7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64" fontId="0" fillId="0" borderId="32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0" fontId="0" fillId="0" borderId="46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164" fontId="0" fillId="0" borderId="30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0" fontId="0" fillId="0" borderId="48" xfId="0" applyBorder="1" applyAlignment="1">
      <alignment horizontal="center" vertical="center" wrapText="1"/>
    </xf>
    <xf numFmtId="164" fontId="0" fillId="0" borderId="48" xfId="0" applyNumberFormat="1" applyBorder="1" applyAlignment="1">
      <alignment horizontal="center" vertical="center" wrapText="1"/>
    </xf>
    <xf numFmtId="164" fontId="0" fillId="0" borderId="47" xfId="0" applyNumberFormat="1" applyBorder="1" applyAlignment="1">
      <alignment horizontal="center" vertical="center" wrapText="1"/>
    </xf>
    <xf numFmtId="164" fontId="0" fillId="0" borderId="19" xfId="0" applyNumberFormat="1" applyBorder="1" applyAlignment="1">
      <alignment horizontal="center" vertical="center" wrapText="1"/>
    </xf>
    <xf numFmtId="164" fontId="0" fillId="0" borderId="39" xfId="0" applyNumberFormat="1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37" xfId="0" applyBorder="1" applyAlignment="1">
      <alignment horizontal="center" wrapText="1"/>
    </xf>
    <xf numFmtId="0" fontId="0" fillId="0" borderId="38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39" xfId="0" applyBorder="1" applyAlignment="1">
      <alignment horizontal="center" wrapText="1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25" xfId="0" applyBorder="1" applyAlignment="1">
      <alignment horizontal="center"/>
    </xf>
    <xf numFmtId="0" fontId="1" fillId="0" borderId="55" xfId="0" applyFont="1" applyBorder="1" applyAlignment="1">
      <alignment horizontal="center" vertical="center" wrapText="1"/>
    </xf>
    <xf numFmtId="0" fontId="2" fillId="0" borderId="56" xfId="0" applyFont="1" applyBorder="1" applyAlignment="1">
      <alignment horizontal="center" vertical="center" wrapText="1"/>
    </xf>
    <xf numFmtId="0" fontId="2" fillId="0" borderId="57" xfId="0" applyFont="1" applyBorder="1" applyAlignment="1">
      <alignment horizontal="center" vertical="center" wrapText="1"/>
    </xf>
    <xf numFmtId="0" fontId="2" fillId="0" borderId="4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58" xfId="0" applyFont="1" applyBorder="1" applyAlignment="1">
      <alignment horizontal="center" vertical="center" wrapText="1"/>
    </xf>
    <xf numFmtId="0" fontId="2" fillId="0" borderId="59" xfId="0" applyFont="1" applyBorder="1" applyAlignment="1">
      <alignment horizontal="center" vertical="center" wrapText="1"/>
    </xf>
    <xf numFmtId="0" fontId="2" fillId="0" borderId="60" xfId="0" applyFont="1" applyBorder="1" applyAlignment="1">
      <alignment horizontal="center" vertical="center" wrapText="1"/>
    </xf>
    <xf numFmtId="0" fontId="2" fillId="0" borderId="61" xfId="0" applyFont="1" applyBorder="1" applyAlignment="1">
      <alignment horizontal="center" vertical="center" wrapText="1"/>
    </xf>
    <xf numFmtId="164" fontId="0" fillId="0" borderId="32" xfId="0" applyNumberFormat="1" applyBorder="1" applyAlignment="1">
      <alignment horizontal="center" vertical="center"/>
    </xf>
    <xf numFmtId="164" fontId="0" fillId="0" borderId="31" xfId="0" applyNumberFormat="1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3" xfId="0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0" fontId="0" fillId="0" borderId="62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164" fontId="0" fillId="0" borderId="29" xfId="0" applyNumberForma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</cellXfs>
  <cellStyles count="2">
    <cellStyle name="Обычный" xfId="0" builtinId="0"/>
    <cellStyle name="Процентный" xfId="1" builtinId="5"/>
  </cellStyles>
  <dxfs count="109"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39994506668294322"/>
        </patternFill>
      </fill>
    </dxf>
    <dxf>
      <fill>
        <patternFill>
          <bgColor rgb="FFFF4343"/>
        </patternFill>
      </fill>
    </dxf>
    <dxf>
      <fill>
        <patternFill>
          <bgColor theme="9" tint="0.59996337778862885"/>
        </patternFill>
      </fill>
    </dxf>
    <dxf>
      <fill>
        <patternFill>
          <bgColor rgb="FF93C472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FF4343"/>
        </patternFill>
      </fill>
    </dxf>
    <dxf>
      <fill>
        <patternFill>
          <bgColor theme="7" tint="0.39994506668294322"/>
        </patternFill>
      </fill>
    </dxf>
    <dxf>
      <fill>
        <patternFill>
          <bgColor rgb="FFFF4F4F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4343"/>
        </patternFill>
      </fill>
    </dxf>
    <dxf>
      <fill>
        <patternFill>
          <bgColor theme="9" tint="0.59996337778862885"/>
        </patternFill>
      </fill>
    </dxf>
    <dxf>
      <fill>
        <patternFill>
          <bgColor rgb="FF93C472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FF4343"/>
        </patternFill>
      </fill>
    </dxf>
    <dxf>
      <fill>
        <patternFill>
          <bgColor theme="7" tint="0.39994506668294322"/>
        </patternFill>
      </fill>
    </dxf>
    <dxf>
      <fill>
        <patternFill>
          <bgColor rgb="FFFF4F4F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4343"/>
        </patternFill>
      </fill>
    </dxf>
    <dxf>
      <fill>
        <patternFill>
          <bgColor theme="9" tint="0.59996337778862885"/>
        </patternFill>
      </fill>
    </dxf>
    <dxf>
      <fill>
        <patternFill>
          <bgColor rgb="FF93C472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FF4343"/>
        </patternFill>
      </fill>
    </dxf>
    <dxf>
      <fill>
        <patternFill>
          <bgColor theme="7" tint="0.39994506668294322"/>
        </patternFill>
      </fill>
    </dxf>
    <dxf>
      <fill>
        <patternFill>
          <bgColor rgb="FFFF4F4F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4343"/>
        </patternFill>
      </fill>
    </dxf>
    <dxf>
      <fill>
        <patternFill>
          <bgColor theme="9" tint="0.59996337778862885"/>
        </patternFill>
      </fill>
    </dxf>
    <dxf>
      <fill>
        <patternFill>
          <bgColor rgb="FF93C472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FF4343"/>
        </patternFill>
      </fill>
    </dxf>
    <dxf>
      <fill>
        <patternFill>
          <bgColor theme="7" tint="0.39994506668294322"/>
        </patternFill>
      </fill>
    </dxf>
    <dxf>
      <fill>
        <patternFill>
          <bgColor rgb="FFFF4F4F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4343"/>
        </patternFill>
      </fill>
    </dxf>
    <dxf>
      <fill>
        <patternFill>
          <bgColor theme="9" tint="0.59996337778862885"/>
        </patternFill>
      </fill>
    </dxf>
    <dxf>
      <fill>
        <patternFill>
          <bgColor rgb="FF93C472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FF4343"/>
        </patternFill>
      </fill>
    </dxf>
    <dxf>
      <fill>
        <patternFill>
          <bgColor theme="7" tint="0.39994506668294322"/>
        </patternFill>
      </fill>
    </dxf>
    <dxf>
      <fill>
        <patternFill>
          <bgColor rgb="FFFF4F4F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4343"/>
        </patternFill>
      </fill>
    </dxf>
    <dxf>
      <fill>
        <patternFill>
          <bgColor theme="9" tint="0.59996337778862885"/>
        </patternFill>
      </fill>
    </dxf>
    <dxf>
      <fill>
        <patternFill>
          <bgColor rgb="FF93C472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FF4343"/>
        </patternFill>
      </fill>
    </dxf>
    <dxf>
      <fill>
        <patternFill>
          <bgColor theme="7" tint="0.39994506668294322"/>
        </patternFill>
      </fill>
    </dxf>
    <dxf>
      <fill>
        <patternFill>
          <bgColor rgb="FFFF4F4F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4343"/>
        </patternFill>
      </fill>
    </dxf>
    <dxf>
      <fill>
        <patternFill>
          <bgColor theme="9" tint="0.59996337778862885"/>
        </patternFill>
      </fill>
    </dxf>
    <dxf>
      <fill>
        <patternFill>
          <bgColor rgb="FF93C472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FF4343"/>
        </patternFill>
      </fill>
    </dxf>
    <dxf>
      <fill>
        <patternFill>
          <bgColor theme="7" tint="0.39994506668294322"/>
        </patternFill>
      </fill>
    </dxf>
    <dxf>
      <fill>
        <patternFill>
          <bgColor rgb="FFFF4F4F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4343"/>
        </patternFill>
      </fill>
    </dxf>
    <dxf>
      <fill>
        <patternFill>
          <bgColor theme="9" tint="0.59996337778862885"/>
        </patternFill>
      </fill>
    </dxf>
    <dxf>
      <fill>
        <patternFill>
          <bgColor rgb="FF93C472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FF4343"/>
        </patternFill>
      </fill>
    </dxf>
    <dxf>
      <fill>
        <patternFill>
          <bgColor theme="7" tint="0.39994506668294322"/>
        </patternFill>
      </fill>
    </dxf>
    <dxf>
      <fill>
        <patternFill>
          <bgColor rgb="FFFF4F4F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4343"/>
        </patternFill>
      </fill>
    </dxf>
    <dxf>
      <fill>
        <patternFill>
          <bgColor theme="9" tint="0.59996337778862885"/>
        </patternFill>
      </fill>
    </dxf>
    <dxf>
      <fill>
        <patternFill>
          <bgColor rgb="FF93C472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FF4343"/>
        </patternFill>
      </fill>
    </dxf>
    <dxf>
      <fill>
        <patternFill>
          <bgColor theme="7" tint="0.39994506668294322"/>
        </patternFill>
      </fill>
    </dxf>
    <dxf>
      <fill>
        <patternFill>
          <bgColor rgb="FFFF4F4F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93C472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FF4343"/>
        </patternFill>
      </fill>
    </dxf>
    <dxf>
      <fill>
        <patternFill>
          <bgColor theme="7" tint="0.39994506668294322"/>
        </patternFill>
      </fill>
    </dxf>
    <dxf>
      <fill>
        <patternFill>
          <bgColor rgb="FFFF4F4F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4343"/>
        </patternFill>
      </fill>
    </dxf>
    <dxf>
      <fill>
        <patternFill>
          <bgColor theme="9" tint="0.59996337778862885"/>
        </patternFill>
      </fill>
    </dxf>
    <dxf>
      <fill>
        <patternFill>
          <bgColor rgb="FF93C472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rgb="FFFF4F4F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3C472"/>
      <color rgb="FFFF4F4F"/>
      <color rgb="FFFF3B3B"/>
      <color rgb="FFFF5757"/>
      <color rgb="FFFF2121"/>
      <color rgb="FFE2AC00"/>
      <color rgb="FFAC9800"/>
      <color rgb="FFFF4343"/>
      <color rgb="FFFF3737"/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strRef>
              <c:f>'1 касса'!$E$2:$E$51</c:f>
              <c:strCache>
                <c:ptCount val="50"/>
                <c:pt idx="0">
                  <c:v>Моя</c:v>
                </c:pt>
                <c:pt idx="1">
                  <c:v>Моя</c:v>
                </c:pt>
                <c:pt idx="2">
                  <c:v>Моя</c:v>
                </c:pt>
                <c:pt idx="3">
                  <c:v>Моя</c:v>
                </c:pt>
                <c:pt idx="4">
                  <c:v>Моя</c:v>
                </c:pt>
                <c:pt idx="5">
                  <c:v>Моя</c:v>
                </c:pt>
                <c:pt idx="6">
                  <c:v>Моя</c:v>
                </c:pt>
                <c:pt idx="7">
                  <c:v>Моя</c:v>
                </c:pt>
                <c:pt idx="8">
                  <c:v>Моя</c:v>
                </c:pt>
                <c:pt idx="9">
                  <c:v>Моя</c:v>
                </c:pt>
                <c:pt idx="10">
                  <c:v>Моя</c:v>
                </c:pt>
                <c:pt idx="11">
                  <c:v>Моя</c:v>
                </c:pt>
                <c:pt idx="12">
                  <c:v>Моя</c:v>
                </c:pt>
                <c:pt idx="13">
                  <c:v>Моя</c:v>
                </c:pt>
                <c:pt idx="14">
                  <c:v>Моя</c:v>
                </c:pt>
                <c:pt idx="15">
                  <c:v>Моя</c:v>
                </c:pt>
                <c:pt idx="16">
                  <c:v>Моя</c:v>
                </c:pt>
                <c:pt idx="17">
                  <c:v>Моя</c:v>
                </c:pt>
                <c:pt idx="18">
                  <c:v>Моя</c:v>
                </c:pt>
                <c:pt idx="19">
                  <c:v>Моя</c:v>
                </c:pt>
                <c:pt idx="20">
                  <c:v>Моя</c:v>
                </c:pt>
                <c:pt idx="21">
                  <c:v>Моя</c:v>
                </c:pt>
                <c:pt idx="22">
                  <c:v>Моя</c:v>
                </c:pt>
                <c:pt idx="23">
                  <c:v>Моя</c:v>
                </c:pt>
                <c:pt idx="24">
                  <c:v>Моя</c:v>
                </c:pt>
                <c:pt idx="25">
                  <c:v>Моя</c:v>
                </c:pt>
                <c:pt idx="26">
                  <c:v>Моя</c:v>
                </c:pt>
                <c:pt idx="27">
                  <c:v>Моя</c:v>
                </c:pt>
                <c:pt idx="28">
                  <c:v>Моя</c:v>
                </c:pt>
                <c:pt idx="29">
                  <c:v>Моя</c:v>
                </c:pt>
                <c:pt idx="30">
                  <c:v>Моя</c:v>
                </c:pt>
                <c:pt idx="31">
                  <c:v>Моя</c:v>
                </c:pt>
                <c:pt idx="32">
                  <c:v>Моя</c:v>
                </c:pt>
                <c:pt idx="33">
                  <c:v>Моя</c:v>
                </c:pt>
                <c:pt idx="34">
                  <c:v>Моя</c:v>
                </c:pt>
                <c:pt idx="35">
                  <c:v>Моя</c:v>
                </c:pt>
                <c:pt idx="36">
                  <c:v>Моя</c:v>
                </c:pt>
                <c:pt idx="37">
                  <c:v>Моя</c:v>
                </c:pt>
                <c:pt idx="38">
                  <c:v>Моя</c:v>
                </c:pt>
                <c:pt idx="39">
                  <c:v>Моя</c:v>
                </c:pt>
                <c:pt idx="40">
                  <c:v>Моя</c:v>
                </c:pt>
                <c:pt idx="41">
                  <c:v>Моя</c:v>
                </c:pt>
                <c:pt idx="42">
                  <c:v>Моя</c:v>
                </c:pt>
                <c:pt idx="43">
                  <c:v>Моя</c:v>
                </c:pt>
                <c:pt idx="44">
                  <c:v>Моя</c:v>
                </c:pt>
                <c:pt idx="45">
                  <c:v>Моя</c:v>
                </c:pt>
                <c:pt idx="46">
                  <c:v>Моя</c:v>
                </c:pt>
                <c:pt idx="47">
                  <c:v>Моя</c:v>
                </c:pt>
                <c:pt idx="48">
                  <c:v>Моя</c:v>
                </c:pt>
                <c:pt idx="49">
                  <c:v>Моя</c:v>
                </c:pt>
              </c:strCache>
            </c:strRef>
          </c:cat>
          <c:val>
            <c:numRef>
              <c:f>'1 касса'!$Q$2:$Q$51</c:f>
              <c:numCache>
                <c:formatCode>General</c:formatCode>
                <c:ptCount val="50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BC-4F95-9C61-9093D6C06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608256"/>
        <c:axId val="501603992"/>
      </c:lineChart>
      <c:catAx>
        <c:axId val="5016082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01603992"/>
        <c:crosses val="autoZero"/>
        <c:auto val="1"/>
        <c:lblAlgn val="ctr"/>
        <c:lblOffset val="100"/>
        <c:noMultiLvlLbl val="0"/>
      </c:catAx>
      <c:valAx>
        <c:axId val="501603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0160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СООТНОШЕНИЕ ПОБЕД И ПОРАЖЕНИЙ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39DE-46E6-BE50-F24B738C49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39DE-46E6-BE50-F24B738C490D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'1 касса'!$W$1:$X$1</c:f>
              <c:strCache>
                <c:ptCount val="2"/>
                <c:pt idx="0">
                  <c:v>Процент побед</c:v>
                </c:pt>
                <c:pt idx="1">
                  <c:v>Процент поражений</c:v>
                </c:pt>
              </c:strCache>
            </c:strRef>
          </c:cat>
          <c:val>
            <c:numRef>
              <c:f>'1 касса'!$W$2:$X$2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E5-465F-9D23-0C313FEE808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ГРАФИК ИСХОДА</a:t>
            </a:r>
            <a:r>
              <a:rPr lang="ru-RU" baseline="0"/>
              <a:t>, ИДЕЯ СТАВКИ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2393158495556442E-2"/>
          <c:y val="6.89902772868351E-2"/>
          <c:w val="0.89449998549027598"/>
          <c:h val="0.8110946539896231"/>
        </c:manualLayout>
      </c:layout>
      <c:lineChart>
        <c:grouping val="standard"/>
        <c:varyColors val="0"/>
        <c:ser>
          <c:idx val="0"/>
          <c:order val="0"/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 касса'!$E$2:$E$71</c:f>
              <c:strCache>
                <c:ptCount val="70"/>
                <c:pt idx="0">
                  <c:v>Моя</c:v>
                </c:pt>
                <c:pt idx="1">
                  <c:v>Моя</c:v>
                </c:pt>
                <c:pt idx="2">
                  <c:v>Моя</c:v>
                </c:pt>
                <c:pt idx="3">
                  <c:v>Моя</c:v>
                </c:pt>
                <c:pt idx="4">
                  <c:v>Моя</c:v>
                </c:pt>
                <c:pt idx="5">
                  <c:v>Моя</c:v>
                </c:pt>
                <c:pt idx="6">
                  <c:v>Моя</c:v>
                </c:pt>
                <c:pt idx="7">
                  <c:v>Моя</c:v>
                </c:pt>
                <c:pt idx="8">
                  <c:v>Моя</c:v>
                </c:pt>
                <c:pt idx="9">
                  <c:v>Моя</c:v>
                </c:pt>
                <c:pt idx="10">
                  <c:v>Моя</c:v>
                </c:pt>
                <c:pt idx="11">
                  <c:v>Моя</c:v>
                </c:pt>
                <c:pt idx="12">
                  <c:v>Моя</c:v>
                </c:pt>
                <c:pt idx="13">
                  <c:v>Моя</c:v>
                </c:pt>
                <c:pt idx="14">
                  <c:v>Моя</c:v>
                </c:pt>
                <c:pt idx="15">
                  <c:v>Моя</c:v>
                </c:pt>
                <c:pt idx="16">
                  <c:v>Моя</c:v>
                </c:pt>
                <c:pt idx="17">
                  <c:v>Моя</c:v>
                </c:pt>
                <c:pt idx="18">
                  <c:v>Моя</c:v>
                </c:pt>
                <c:pt idx="19">
                  <c:v>Моя</c:v>
                </c:pt>
                <c:pt idx="20">
                  <c:v>Моя</c:v>
                </c:pt>
                <c:pt idx="21">
                  <c:v>Моя</c:v>
                </c:pt>
                <c:pt idx="22">
                  <c:v>Моя</c:v>
                </c:pt>
                <c:pt idx="23">
                  <c:v>Моя</c:v>
                </c:pt>
                <c:pt idx="24">
                  <c:v>Моя</c:v>
                </c:pt>
                <c:pt idx="25">
                  <c:v>Моя</c:v>
                </c:pt>
                <c:pt idx="26">
                  <c:v>Моя</c:v>
                </c:pt>
                <c:pt idx="27">
                  <c:v>Моя</c:v>
                </c:pt>
                <c:pt idx="28">
                  <c:v>Моя</c:v>
                </c:pt>
                <c:pt idx="29">
                  <c:v>Моя</c:v>
                </c:pt>
                <c:pt idx="30">
                  <c:v>Моя</c:v>
                </c:pt>
                <c:pt idx="31">
                  <c:v>Моя</c:v>
                </c:pt>
                <c:pt idx="32">
                  <c:v>Моя</c:v>
                </c:pt>
                <c:pt idx="33">
                  <c:v>Моя</c:v>
                </c:pt>
                <c:pt idx="34">
                  <c:v>Моя</c:v>
                </c:pt>
                <c:pt idx="35">
                  <c:v>Моя</c:v>
                </c:pt>
                <c:pt idx="36">
                  <c:v>Моя</c:v>
                </c:pt>
                <c:pt idx="37">
                  <c:v>Моя</c:v>
                </c:pt>
                <c:pt idx="38">
                  <c:v>Моя</c:v>
                </c:pt>
                <c:pt idx="39">
                  <c:v>Моя</c:v>
                </c:pt>
                <c:pt idx="40">
                  <c:v>Моя</c:v>
                </c:pt>
                <c:pt idx="41">
                  <c:v>Моя</c:v>
                </c:pt>
                <c:pt idx="42">
                  <c:v>Моя</c:v>
                </c:pt>
                <c:pt idx="43">
                  <c:v>Моя</c:v>
                </c:pt>
                <c:pt idx="44">
                  <c:v>Моя</c:v>
                </c:pt>
                <c:pt idx="45">
                  <c:v>Моя</c:v>
                </c:pt>
                <c:pt idx="46">
                  <c:v>Моя</c:v>
                </c:pt>
                <c:pt idx="47">
                  <c:v>Моя</c:v>
                </c:pt>
                <c:pt idx="48">
                  <c:v>Моя</c:v>
                </c:pt>
                <c:pt idx="49">
                  <c:v>Моя</c:v>
                </c:pt>
                <c:pt idx="50">
                  <c:v>Моя</c:v>
                </c:pt>
                <c:pt idx="51">
                  <c:v>Моя</c:v>
                </c:pt>
                <c:pt idx="52">
                  <c:v>Моя</c:v>
                </c:pt>
                <c:pt idx="53">
                  <c:v>Моя</c:v>
                </c:pt>
                <c:pt idx="54">
                  <c:v>Моя</c:v>
                </c:pt>
                <c:pt idx="55">
                  <c:v>Моя</c:v>
                </c:pt>
                <c:pt idx="56">
                  <c:v>Моя</c:v>
                </c:pt>
                <c:pt idx="57">
                  <c:v>Моя</c:v>
                </c:pt>
                <c:pt idx="58">
                  <c:v>Моя</c:v>
                </c:pt>
                <c:pt idx="59">
                  <c:v>Моя</c:v>
                </c:pt>
                <c:pt idx="60">
                  <c:v>Моя</c:v>
                </c:pt>
                <c:pt idx="61">
                  <c:v>Моя</c:v>
                </c:pt>
                <c:pt idx="62">
                  <c:v>Моя</c:v>
                </c:pt>
                <c:pt idx="63">
                  <c:v>Моя</c:v>
                </c:pt>
                <c:pt idx="64">
                  <c:v>Моя</c:v>
                </c:pt>
                <c:pt idx="65">
                  <c:v>Моя</c:v>
                </c:pt>
                <c:pt idx="66">
                  <c:v>Моя</c:v>
                </c:pt>
                <c:pt idx="67">
                  <c:v>Моя</c:v>
                </c:pt>
                <c:pt idx="68">
                  <c:v>Моя</c:v>
                </c:pt>
                <c:pt idx="69">
                  <c:v>Моя</c:v>
                </c:pt>
              </c:strCache>
            </c:strRef>
          </c:cat>
          <c:val>
            <c:numRef>
              <c:f>'1 касса'!$Q$2:$Q$71</c:f>
              <c:numCache>
                <c:formatCode>General</c:formatCode>
                <c:ptCount val="70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-2</c:v>
                </c:pt>
                <c:pt idx="68">
                  <c:v>-2</c:v>
                </c:pt>
                <c:pt idx="69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2D-4430-AA90-B25BAC86F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94792344"/>
        <c:axId val="494789392"/>
      </c:lineChart>
      <c:catAx>
        <c:axId val="494792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89392"/>
        <c:crosses val="autoZero"/>
        <c:auto val="1"/>
        <c:lblAlgn val="ctr"/>
        <c:lblOffset val="100"/>
        <c:noMultiLvlLbl val="0"/>
      </c:catAx>
      <c:valAx>
        <c:axId val="494789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923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ГРАФИК СУММ</a:t>
            </a:r>
            <a:r>
              <a:rPr lang="ru-RU" baseline="0"/>
              <a:t> </a:t>
            </a:r>
            <a:r>
              <a:rPr lang="ru-RU"/>
              <a:t>ВЫИГРЫША/ПРОИГРЫША, ИСХОД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 касса'!$J$1</c:f>
              <c:strCache>
                <c:ptCount val="1"/>
                <c:pt idx="0">
                  <c:v>Выигрыш составит</c:v>
                </c:pt>
              </c:strCache>
            </c:strRef>
          </c:tx>
          <c:spPr>
            <a:ln w="34925" cap="rnd">
              <a:solidFill>
                <a:schemeClr val="bg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'1 касса'!$P$2:$P$71</c:f>
              <c:strCache>
                <c:ptCount val="70"/>
                <c:pt idx="0">
                  <c:v>Не ставил</c:v>
                </c:pt>
                <c:pt idx="1">
                  <c:v>Не ставил</c:v>
                </c:pt>
                <c:pt idx="2">
                  <c:v>Не ставил</c:v>
                </c:pt>
                <c:pt idx="3">
                  <c:v>Не ставил</c:v>
                </c:pt>
                <c:pt idx="4">
                  <c:v>Не ставил</c:v>
                </c:pt>
                <c:pt idx="5">
                  <c:v>Не ставил</c:v>
                </c:pt>
                <c:pt idx="6">
                  <c:v>Не ставил</c:v>
                </c:pt>
                <c:pt idx="7">
                  <c:v>Не ставил</c:v>
                </c:pt>
                <c:pt idx="8">
                  <c:v>Не ставил</c:v>
                </c:pt>
                <c:pt idx="9">
                  <c:v>Не ставил</c:v>
                </c:pt>
                <c:pt idx="10">
                  <c:v>Не ставил</c:v>
                </c:pt>
                <c:pt idx="11">
                  <c:v>Не ставил</c:v>
                </c:pt>
                <c:pt idx="12">
                  <c:v>Не ставил</c:v>
                </c:pt>
                <c:pt idx="13">
                  <c:v>Не ставил</c:v>
                </c:pt>
                <c:pt idx="14">
                  <c:v>Не ставил</c:v>
                </c:pt>
                <c:pt idx="15">
                  <c:v>Не ставил</c:v>
                </c:pt>
                <c:pt idx="16">
                  <c:v>Не ставил</c:v>
                </c:pt>
                <c:pt idx="17">
                  <c:v>Не ставил</c:v>
                </c:pt>
                <c:pt idx="18">
                  <c:v>Не ставил</c:v>
                </c:pt>
                <c:pt idx="19">
                  <c:v>Не ставил</c:v>
                </c:pt>
                <c:pt idx="20">
                  <c:v>Не ставил</c:v>
                </c:pt>
                <c:pt idx="21">
                  <c:v>Не ставил</c:v>
                </c:pt>
                <c:pt idx="22">
                  <c:v>Не ставил</c:v>
                </c:pt>
                <c:pt idx="23">
                  <c:v>Не ставил</c:v>
                </c:pt>
                <c:pt idx="24">
                  <c:v>Не ставил</c:v>
                </c:pt>
                <c:pt idx="25">
                  <c:v>Не ставил</c:v>
                </c:pt>
                <c:pt idx="26">
                  <c:v>Не ставил</c:v>
                </c:pt>
                <c:pt idx="27">
                  <c:v>Не ставил</c:v>
                </c:pt>
                <c:pt idx="28">
                  <c:v>Не ставил</c:v>
                </c:pt>
                <c:pt idx="29">
                  <c:v>Не ставил</c:v>
                </c:pt>
                <c:pt idx="30">
                  <c:v>Не ставил</c:v>
                </c:pt>
                <c:pt idx="31">
                  <c:v>Не ставил</c:v>
                </c:pt>
                <c:pt idx="32">
                  <c:v>Не ставил</c:v>
                </c:pt>
                <c:pt idx="33">
                  <c:v>Не ставил</c:v>
                </c:pt>
                <c:pt idx="34">
                  <c:v>Не ставил</c:v>
                </c:pt>
                <c:pt idx="35">
                  <c:v>Не ставил</c:v>
                </c:pt>
                <c:pt idx="36">
                  <c:v>Не ставил</c:v>
                </c:pt>
                <c:pt idx="37">
                  <c:v>Не ставил</c:v>
                </c:pt>
                <c:pt idx="38">
                  <c:v>Не ставил</c:v>
                </c:pt>
                <c:pt idx="39">
                  <c:v>Не ставил</c:v>
                </c:pt>
                <c:pt idx="40">
                  <c:v>Не ставил</c:v>
                </c:pt>
                <c:pt idx="41">
                  <c:v>Не ставил</c:v>
                </c:pt>
                <c:pt idx="42">
                  <c:v>Не ставил</c:v>
                </c:pt>
                <c:pt idx="43">
                  <c:v>Не ставил</c:v>
                </c:pt>
                <c:pt idx="44">
                  <c:v>Не ставил</c:v>
                </c:pt>
                <c:pt idx="45">
                  <c:v>Не ставил</c:v>
                </c:pt>
                <c:pt idx="46">
                  <c:v>Не ставил</c:v>
                </c:pt>
                <c:pt idx="47">
                  <c:v>Не ставил</c:v>
                </c:pt>
                <c:pt idx="48">
                  <c:v>Не ставил</c:v>
                </c:pt>
                <c:pt idx="49">
                  <c:v>Не ставил</c:v>
                </c:pt>
                <c:pt idx="50">
                  <c:v>Не ставил</c:v>
                </c:pt>
                <c:pt idx="51">
                  <c:v>Не ставил</c:v>
                </c:pt>
                <c:pt idx="52">
                  <c:v>Не ставил</c:v>
                </c:pt>
                <c:pt idx="53">
                  <c:v>Не ставил</c:v>
                </c:pt>
                <c:pt idx="54">
                  <c:v>Не ставил</c:v>
                </c:pt>
                <c:pt idx="55">
                  <c:v>Не ставил</c:v>
                </c:pt>
                <c:pt idx="56">
                  <c:v>Не ставил</c:v>
                </c:pt>
                <c:pt idx="57">
                  <c:v>Не ставил</c:v>
                </c:pt>
                <c:pt idx="58">
                  <c:v>Не ставил</c:v>
                </c:pt>
                <c:pt idx="59">
                  <c:v>Не ставил</c:v>
                </c:pt>
                <c:pt idx="60">
                  <c:v>Не ставил</c:v>
                </c:pt>
                <c:pt idx="61">
                  <c:v>Не ставил</c:v>
                </c:pt>
                <c:pt idx="62">
                  <c:v>Не ставил</c:v>
                </c:pt>
                <c:pt idx="63">
                  <c:v>Не ставил</c:v>
                </c:pt>
                <c:pt idx="64">
                  <c:v>Не ставил</c:v>
                </c:pt>
                <c:pt idx="65">
                  <c:v>Не ставил</c:v>
                </c:pt>
                <c:pt idx="66">
                  <c:v>Не ставил</c:v>
                </c:pt>
                <c:pt idx="67">
                  <c:v>Не ставил</c:v>
                </c:pt>
                <c:pt idx="68">
                  <c:v>Не ставил</c:v>
                </c:pt>
                <c:pt idx="69">
                  <c:v>Не ставил</c:v>
                </c:pt>
              </c:strCache>
            </c:strRef>
          </c:cat>
          <c:val>
            <c:numRef>
              <c:f>'1 касса'!$J$2:$J$71</c:f>
              <c:numCache>
                <c:formatCode>#\ ##0.00\ "₽"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85-4E76-9A0B-B7F315891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792344"/>
        <c:axId val="494789392"/>
      </c:lineChart>
      <c:catAx>
        <c:axId val="494792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rnd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89392"/>
        <c:crosses val="autoZero"/>
        <c:auto val="1"/>
        <c:lblAlgn val="ctr"/>
        <c:lblOffset val="100"/>
        <c:noMultiLvlLbl val="0"/>
      </c:catAx>
      <c:valAx>
        <c:axId val="494789392"/>
        <c:scaling>
          <c:orientation val="minMax"/>
        </c:scaling>
        <c:delete val="0"/>
        <c:axPos val="l"/>
        <c:majorGridlines>
          <c:spPr>
            <a:ln w="9525" cap="rnd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\ ##0.00\ &quot;₽&quot;" sourceLinked="1"/>
        <c:majorTickMark val="none"/>
        <c:minorTickMark val="none"/>
        <c:tickLblPos val="nextTo"/>
        <c:spPr>
          <a:noFill/>
          <a:ln cap="rnd">
            <a:solidFill>
              <a:schemeClr val="lt1">
                <a:lumMod val="9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92344"/>
        <c:crosses val="autoZero"/>
        <c:crossBetween val="between"/>
      </c:valAx>
      <c:dTable>
        <c:showHorzBorder val="0"/>
        <c:showVertBorder val="1"/>
        <c:showOutline val="0"/>
        <c:showKeys val="0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strRef>
              <c:f>'2 касса'!$E$2:$E$51</c:f>
              <c:strCache>
                <c:ptCount val="50"/>
                <c:pt idx="0">
                  <c:v>Моя</c:v>
                </c:pt>
                <c:pt idx="1">
                  <c:v>Моя</c:v>
                </c:pt>
                <c:pt idx="2">
                  <c:v>Моя</c:v>
                </c:pt>
                <c:pt idx="3">
                  <c:v>Моя</c:v>
                </c:pt>
                <c:pt idx="4">
                  <c:v>Моя</c:v>
                </c:pt>
                <c:pt idx="5">
                  <c:v>Моя</c:v>
                </c:pt>
                <c:pt idx="6">
                  <c:v>Моя</c:v>
                </c:pt>
                <c:pt idx="7">
                  <c:v>Моя</c:v>
                </c:pt>
                <c:pt idx="8">
                  <c:v>Моя</c:v>
                </c:pt>
                <c:pt idx="9">
                  <c:v>Моя</c:v>
                </c:pt>
                <c:pt idx="10">
                  <c:v>Моя</c:v>
                </c:pt>
                <c:pt idx="11">
                  <c:v>Моя</c:v>
                </c:pt>
                <c:pt idx="12">
                  <c:v>Моя</c:v>
                </c:pt>
                <c:pt idx="13">
                  <c:v>Моя</c:v>
                </c:pt>
                <c:pt idx="14">
                  <c:v>Моя</c:v>
                </c:pt>
                <c:pt idx="15">
                  <c:v>Моя</c:v>
                </c:pt>
                <c:pt idx="16">
                  <c:v>Моя</c:v>
                </c:pt>
                <c:pt idx="17">
                  <c:v>Моя</c:v>
                </c:pt>
                <c:pt idx="18">
                  <c:v>Моя</c:v>
                </c:pt>
                <c:pt idx="19">
                  <c:v>Моя</c:v>
                </c:pt>
                <c:pt idx="20">
                  <c:v>Моя</c:v>
                </c:pt>
                <c:pt idx="21">
                  <c:v>Моя</c:v>
                </c:pt>
                <c:pt idx="22">
                  <c:v>Моя</c:v>
                </c:pt>
                <c:pt idx="23">
                  <c:v>Моя</c:v>
                </c:pt>
                <c:pt idx="24">
                  <c:v>Моя</c:v>
                </c:pt>
                <c:pt idx="25">
                  <c:v>Моя</c:v>
                </c:pt>
                <c:pt idx="26">
                  <c:v>Моя</c:v>
                </c:pt>
                <c:pt idx="27">
                  <c:v>Моя</c:v>
                </c:pt>
                <c:pt idx="28">
                  <c:v>Моя</c:v>
                </c:pt>
                <c:pt idx="29">
                  <c:v>Моя</c:v>
                </c:pt>
                <c:pt idx="30">
                  <c:v>Моя</c:v>
                </c:pt>
                <c:pt idx="31">
                  <c:v>Моя</c:v>
                </c:pt>
                <c:pt idx="32">
                  <c:v>Моя</c:v>
                </c:pt>
                <c:pt idx="33">
                  <c:v>Моя</c:v>
                </c:pt>
                <c:pt idx="34">
                  <c:v>Моя</c:v>
                </c:pt>
                <c:pt idx="35">
                  <c:v>Моя</c:v>
                </c:pt>
                <c:pt idx="36">
                  <c:v>Моя</c:v>
                </c:pt>
                <c:pt idx="37">
                  <c:v>Моя</c:v>
                </c:pt>
                <c:pt idx="38">
                  <c:v>Моя</c:v>
                </c:pt>
                <c:pt idx="39">
                  <c:v>Моя</c:v>
                </c:pt>
                <c:pt idx="40">
                  <c:v>Моя</c:v>
                </c:pt>
                <c:pt idx="41">
                  <c:v>Моя</c:v>
                </c:pt>
                <c:pt idx="42">
                  <c:v>Моя</c:v>
                </c:pt>
                <c:pt idx="43">
                  <c:v>Моя</c:v>
                </c:pt>
                <c:pt idx="44">
                  <c:v>Моя</c:v>
                </c:pt>
                <c:pt idx="45">
                  <c:v>Моя</c:v>
                </c:pt>
                <c:pt idx="46">
                  <c:v>Моя</c:v>
                </c:pt>
                <c:pt idx="47">
                  <c:v>Моя</c:v>
                </c:pt>
                <c:pt idx="48">
                  <c:v>Моя</c:v>
                </c:pt>
                <c:pt idx="49">
                  <c:v>Моя</c:v>
                </c:pt>
              </c:strCache>
            </c:strRef>
          </c:cat>
          <c:val>
            <c:numRef>
              <c:f>'2 касса'!$Q$2:$Q$51</c:f>
              <c:numCache>
                <c:formatCode>General</c:formatCode>
                <c:ptCount val="50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50-4892-A080-6230D0538D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608256"/>
        <c:axId val="501603992"/>
      </c:lineChart>
      <c:catAx>
        <c:axId val="5016082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01603992"/>
        <c:crosses val="autoZero"/>
        <c:auto val="1"/>
        <c:lblAlgn val="ctr"/>
        <c:lblOffset val="100"/>
        <c:noMultiLvlLbl val="0"/>
      </c:catAx>
      <c:valAx>
        <c:axId val="501603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0160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СООТНОШЕНИЕ ПОБЕД И ПОРАЖЕНИЙ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DFA5-44E0-AFCD-23D65791A70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DFA5-44E0-AFCD-23D65791A70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 касса'!$W$1:$X$1</c:f>
              <c:strCache>
                <c:ptCount val="2"/>
                <c:pt idx="0">
                  <c:v>Процент побед</c:v>
                </c:pt>
                <c:pt idx="1">
                  <c:v>Процент поражений</c:v>
                </c:pt>
              </c:strCache>
            </c:strRef>
          </c:cat>
          <c:val>
            <c:numRef>
              <c:f>'2 касса'!$W$2:$X$2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A5-44E0-AFCD-23D65791A70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ГРАФИК ИСХОДА</a:t>
            </a:r>
            <a:r>
              <a:rPr lang="ru-RU" baseline="0"/>
              <a:t>, ИДЕЯ СТАВКИ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2393158495556442E-2"/>
          <c:y val="6.89902772868351E-2"/>
          <c:w val="0.89449998549027598"/>
          <c:h val="0.8110946539896231"/>
        </c:manualLayout>
      </c:layout>
      <c:lineChart>
        <c:grouping val="standard"/>
        <c:varyColors val="0"/>
        <c:ser>
          <c:idx val="0"/>
          <c:order val="0"/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 касса'!$E$2:$E$71</c:f>
              <c:strCache>
                <c:ptCount val="70"/>
                <c:pt idx="0">
                  <c:v>Моя</c:v>
                </c:pt>
                <c:pt idx="1">
                  <c:v>Моя</c:v>
                </c:pt>
                <c:pt idx="2">
                  <c:v>Моя</c:v>
                </c:pt>
                <c:pt idx="3">
                  <c:v>Моя</c:v>
                </c:pt>
                <c:pt idx="4">
                  <c:v>Моя</c:v>
                </c:pt>
                <c:pt idx="5">
                  <c:v>Моя</c:v>
                </c:pt>
                <c:pt idx="6">
                  <c:v>Моя</c:v>
                </c:pt>
                <c:pt idx="7">
                  <c:v>Моя</c:v>
                </c:pt>
                <c:pt idx="8">
                  <c:v>Моя</c:v>
                </c:pt>
                <c:pt idx="9">
                  <c:v>Моя</c:v>
                </c:pt>
                <c:pt idx="10">
                  <c:v>Моя</c:v>
                </c:pt>
                <c:pt idx="11">
                  <c:v>Моя</c:v>
                </c:pt>
                <c:pt idx="12">
                  <c:v>Моя</c:v>
                </c:pt>
                <c:pt idx="13">
                  <c:v>Моя</c:v>
                </c:pt>
                <c:pt idx="14">
                  <c:v>Моя</c:v>
                </c:pt>
                <c:pt idx="15">
                  <c:v>Моя</c:v>
                </c:pt>
                <c:pt idx="16">
                  <c:v>Моя</c:v>
                </c:pt>
                <c:pt idx="17">
                  <c:v>Моя</c:v>
                </c:pt>
                <c:pt idx="18">
                  <c:v>Моя</c:v>
                </c:pt>
                <c:pt idx="19">
                  <c:v>Моя</c:v>
                </c:pt>
                <c:pt idx="20">
                  <c:v>Моя</c:v>
                </c:pt>
                <c:pt idx="21">
                  <c:v>Моя</c:v>
                </c:pt>
                <c:pt idx="22">
                  <c:v>Моя</c:v>
                </c:pt>
                <c:pt idx="23">
                  <c:v>Моя</c:v>
                </c:pt>
                <c:pt idx="24">
                  <c:v>Моя</c:v>
                </c:pt>
                <c:pt idx="25">
                  <c:v>Моя</c:v>
                </c:pt>
                <c:pt idx="26">
                  <c:v>Моя</c:v>
                </c:pt>
                <c:pt idx="27">
                  <c:v>Моя</c:v>
                </c:pt>
                <c:pt idx="28">
                  <c:v>Моя</c:v>
                </c:pt>
                <c:pt idx="29">
                  <c:v>Моя</c:v>
                </c:pt>
                <c:pt idx="30">
                  <c:v>Моя</c:v>
                </c:pt>
                <c:pt idx="31">
                  <c:v>Моя</c:v>
                </c:pt>
                <c:pt idx="32">
                  <c:v>Моя</c:v>
                </c:pt>
                <c:pt idx="33">
                  <c:v>Моя</c:v>
                </c:pt>
                <c:pt idx="34">
                  <c:v>Моя</c:v>
                </c:pt>
                <c:pt idx="35">
                  <c:v>Моя</c:v>
                </c:pt>
                <c:pt idx="36">
                  <c:v>Моя</c:v>
                </c:pt>
                <c:pt idx="37">
                  <c:v>Моя</c:v>
                </c:pt>
                <c:pt idx="38">
                  <c:v>Моя</c:v>
                </c:pt>
                <c:pt idx="39">
                  <c:v>Моя</c:v>
                </c:pt>
                <c:pt idx="40">
                  <c:v>Моя</c:v>
                </c:pt>
                <c:pt idx="41">
                  <c:v>Моя</c:v>
                </c:pt>
                <c:pt idx="42">
                  <c:v>Моя</c:v>
                </c:pt>
                <c:pt idx="43">
                  <c:v>Моя</c:v>
                </c:pt>
                <c:pt idx="44">
                  <c:v>Моя</c:v>
                </c:pt>
                <c:pt idx="45">
                  <c:v>Моя</c:v>
                </c:pt>
                <c:pt idx="46">
                  <c:v>Моя</c:v>
                </c:pt>
                <c:pt idx="47">
                  <c:v>Моя</c:v>
                </c:pt>
                <c:pt idx="48">
                  <c:v>Моя</c:v>
                </c:pt>
                <c:pt idx="49">
                  <c:v>Моя</c:v>
                </c:pt>
                <c:pt idx="50">
                  <c:v>Моя</c:v>
                </c:pt>
                <c:pt idx="51">
                  <c:v>Моя</c:v>
                </c:pt>
                <c:pt idx="52">
                  <c:v>Моя</c:v>
                </c:pt>
                <c:pt idx="53">
                  <c:v>Моя</c:v>
                </c:pt>
                <c:pt idx="54">
                  <c:v>Моя</c:v>
                </c:pt>
                <c:pt idx="55">
                  <c:v>Моя</c:v>
                </c:pt>
                <c:pt idx="56">
                  <c:v>Моя</c:v>
                </c:pt>
                <c:pt idx="57">
                  <c:v>Моя</c:v>
                </c:pt>
                <c:pt idx="58">
                  <c:v>Моя</c:v>
                </c:pt>
                <c:pt idx="59">
                  <c:v>Моя</c:v>
                </c:pt>
                <c:pt idx="60">
                  <c:v>Моя</c:v>
                </c:pt>
                <c:pt idx="61">
                  <c:v>Моя</c:v>
                </c:pt>
                <c:pt idx="62">
                  <c:v>Моя</c:v>
                </c:pt>
                <c:pt idx="63">
                  <c:v>Моя</c:v>
                </c:pt>
                <c:pt idx="64">
                  <c:v>Моя</c:v>
                </c:pt>
                <c:pt idx="65">
                  <c:v>Моя</c:v>
                </c:pt>
                <c:pt idx="66">
                  <c:v>Моя</c:v>
                </c:pt>
                <c:pt idx="67">
                  <c:v>Моя</c:v>
                </c:pt>
                <c:pt idx="68">
                  <c:v>Моя</c:v>
                </c:pt>
                <c:pt idx="69">
                  <c:v>Моя</c:v>
                </c:pt>
              </c:strCache>
            </c:strRef>
          </c:cat>
          <c:val>
            <c:numRef>
              <c:f>'2 касса'!$Q$2:$Q$71</c:f>
              <c:numCache>
                <c:formatCode>General</c:formatCode>
                <c:ptCount val="70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-2</c:v>
                </c:pt>
                <c:pt idx="68">
                  <c:v>-2</c:v>
                </c:pt>
                <c:pt idx="69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64-43FD-85BD-2FCE7B781E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94792344"/>
        <c:axId val="494789392"/>
      </c:lineChart>
      <c:catAx>
        <c:axId val="494792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89392"/>
        <c:crosses val="autoZero"/>
        <c:auto val="1"/>
        <c:lblAlgn val="ctr"/>
        <c:lblOffset val="100"/>
        <c:noMultiLvlLbl val="0"/>
      </c:catAx>
      <c:valAx>
        <c:axId val="494789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923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ГРАФИК СУММ</a:t>
            </a:r>
            <a:r>
              <a:rPr lang="ru-RU" baseline="0"/>
              <a:t> </a:t>
            </a:r>
            <a:r>
              <a:rPr lang="ru-RU"/>
              <a:t>ВЫИГРЫША/ПРОИГРЫША, ИСХОД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 касса'!$J$1</c:f>
              <c:strCache>
                <c:ptCount val="1"/>
                <c:pt idx="0">
                  <c:v>Выигрыш составит</c:v>
                </c:pt>
              </c:strCache>
            </c:strRef>
          </c:tx>
          <c:spPr>
            <a:ln w="34925" cap="rnd">
              <a:solidFill>
                <a:schemeClr val="bg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'2 касса'!$P$2:$P$71</c:f>
              <c:strCache>
                <c:ptCount val="70"/>
                <c:pt idx="0">
                  <c:v>Не ставил</c:v>
                </c:pt>
                <c:pt idx="1">
                  <c:v>Не ставил</c:v>
                </c:pt>
                <c:pt idx="2">
                  <c:v>Не ставил</c:v>
                </c:pt>
                <c:pt idx="3">
                  <c:v>Не ставил</c:v>
                </c:pt>
                <c:pt idx="4">
                  <c:v>Не ставил</c:v>
                </c:pt>
                <c:pt idx="5">
                  <c:v>Не ставил</c:v>
                </c:pt>
                <c:pt idx="6">
                  <c:v>Не ставил</c:v>
                </c:pt>
                <c:pt idx="7">
                  <c:v>Не ставил</c:v>
                </c:pt>
                <c:pt idx="8">
                  <c:v>Не ставил</c:v>
                </c:pt>
                <c:pt idx="9">
                  <c:v>Не ставил</c:v>
                </c:pt>
                <c:pt idx="10">
                  <c:v>Не ставил</c:v>
                </c:pt>
                <c:pt idx="11">
                  <c:v>Не ставил</c:v>
                </c:pt>
                <c:pt idx="12">
                  <c:v>Не ставил</c:v>
                </c:pt>
                <c:pt idx="13">
                  <c:v>Не ставил</c:v>
                </c:pt>
                <c:pt idx="14">
                  <c:v>Не ставил</c:v>
                </c:pt>
                <c:pt idx="15">
                  <c:v>Не ставил</c:v>
                </c:pt>
                <c:pt idx="16">
                  <c:v>Не ставил</c:v>
                </c:pt>
                <c:pt idx="17">
                  <c:v>Не ставил</c:v>
                </c:pt>
                <c:pt idx="18">
                  <c:v>Не ставил</c:v>
                </c:pt>
                <c:pt idx="19">
                  <c:v>Не ставил</c:v>
                </c:pt>
                <c:pt idx="20">
                  <c:v>Не ставил</c:v>
                </c:pt>
                <c:pt idx="21">
                  <c:v>Не ставил</c:v>
                </c:pt>
                <c:pt idx="22">
                  <c:v>Не ставил</c:v>
                </c:pt>
                <c:pt idx="23">
                  <c:v>Не ставил</c:v>
                </c:pt>
                <c:pt idx="24">
                  <c:v>Не ставил</c:v>
                </c:pt>
                <c:pt idx="25">
                  <c:v>Не ставил</c:v>
                </c:pt>
                <c:pt idx="26">
                  <c:v>Не ставил</c:v>
                </c:pt>
                <c:pt idx="27">
                  <c:v>Не ставил</c:v>
                </c:pt>
                <c:pt idx="28">
                  <c:v>Не ставил</c:v>
                </c:pt>
                <c:pt idx="29">
                  <c:v>Не ставил</c:v>
                </c:pt>
                <c:pt idx="30">
                  <c:v>Не ставил</c:v>
                </c:pt>
                <c:pt idx="31">
                  <c:v>Не ставил</c:v>
                </c:pt>
                <c:pt idx="32">
                  <c:v>Не ставил</c:v>
                </c:pt>
                <c:pt idx="33">
                  <c:v>Не ставил</c:v>
                </c:pt>
                <c:pt idx="34">
                  <c:v>Не ставил</c:v>
                </c:pt>
                <c:pt idx="35">
                  <c:v>Не ставил</c:v>
                </c:pt>
                <c:pt idx="36">
                  <c:v>Не ставил</c:v>
                </c:pt>
                <c:pt idx="37">
                  <c:v>Не ставил</c:v>
                </c:pt>
                <c:pt idx="38">
                  <c:v>Не ставил</c:v>
                </c:pt>
                <c:pt idx="39">
                  <c:v>Не ставил</c:v>
                </c:pt>
                <c:pt idx="40">
                  <c:v>Не ставил</c:v>
                </c:pt>
                <c:pt idx="41">
                  <c:v>Не ставил</c:v>
                </c:pt>
                <c:pt idx="42">
                  <c:v>Не ставил</c:v>
                </c:pt>
                <c:pt idx="43">
                  <c:v>Не ставил</c:v>
                </c:pt>
                <c:pt idx="44">
                  <c:v>Не ставил</c:v>
                </c:pt>
                <c:pt idx="45">
                  <c:v>Не ставил</c:v>
                </c:pt>
                <c:pt idx="46">
                  <c:v>Не ставил</c:v>
                </c:pt>
                <c:pt idx="47">
                  <c:v>Не ставил</c:v>
                </c:pt>
                <c:pt idx="48">
                  <c:v>Не ставил</c:v>
                </c:pt>
                <c:pt idx="49">
                  <c:v>Не ставил</c:v>
                </c:pt>
                <c:pt idx="50">
                  <c:v>Не ставил</c:v>
                </c:pt>
                <c:pt idx="51">
                  <c:v>Не ставил</c:v>
                </c:pt>
                <c:pt idx="52">
                  <c:v>Не ставил</c:v>
                </c:pt>
                <c:pt idx="53">
                  <c:v>Не ставил</c:v>
                </c:pt>
                <c:pt idx="54">
                  <c:v>Не ставил</c:v>
                </c:pt>
                <c:pt idx="55">
                  <c:v>Не ставил</c:v>
                </c:pt>
                <c:pt idx="56">
                  <c:v>Не ставил</c:v>
                </c:pt>
                <c:pt idx="57">
                  <c:v>Не ставил</c:v>
                </c:pt>
                <c:pt idx="58">
                  <c:v>Не ставил</c:v>
                </c:pt>
                <c:pt idx="59">
                  <c:v>Не ставил</c:v>
                </c:pt>
                <c:pt idx="60">
                  <c:v>Не ставил</c:v>
                </c:pt>
                <c:pt idx="61">
                  <c:v>Не ставил</c:v>
                </c:pt>
                <c:pt idx="62">
                  <c:v>Не ставил</c:v>
                </c:pt>
                <c:pt idx="63">
                  <c:v>Не ставил</c:v>
                </c:pt>
                <c:pt idx="64">
                  <c:v>Не ставил</c:v>
                </c:pt>
                <c:pt idx="65">
                  <c:v>Не ставил</c:v>
                </c:pt>
                <c:pt idx="66">
                  <c:v>Не ставил</c:v>
                </c:pt>
                <c:pt idx="67">
                  <c:v>Не ставил</c:v>
                </c:pt>
                <c:pt idx="68">
                  <c:v>Не ставил</c:v>
                </c:pt>
                <c:pt idx="69">
                  <c:v>Не ставил</c:v>
                </c:pt>
              </c:strCache>
            </c:strRef>
          </c:cat>
          <c:val>
            <c:numRef>
              <c:f>'2 касса'!$J$2:$J$71</c:f>
              <c:numCache>
                <c:formatCode>#\ ##0.00\ "₽"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EF-4705-90CA-1D683427D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792344"/>
        <c:axId val="494789392"/>
      </c:lineChart>
      <c:catAx>
        <c:axId val="494792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rnd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89392"/>
        <c:crosses val="autoZero"/>
        <c:auto val="1"/>
        <c:lblAlgn val="ctr"/>
        <c:lblOffset val="100"/>
        <c:noMultiLvlLbl val="0"/>
      </c:catAx>
      <c:valAx>
        <c:axId val="494789392"/>
        <c:scaling>
          <c:orientation val="minMax"/>
        </c:scaling>
        <c:delete val="0"/>
        <c:axPos val="l"/>
        <c:majorGridlines>
          <c:spPr>
            <a:ln w="9525" cap="rnd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\ ##0.00\ &quot;₽&quot;" sourceLinked="1"/>
        <c:majorTickMark val="none"/>
        <c:minorTickMark val="none"/>
        <c:tickLblPos val="nextTo"/>
        <c:spPr>
          <a:noFill/>
          <a:ln cap="rnd">
            <a:solidFill>
              <a:schemeClr val="lt1">
                <a:lumMod val="9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92344"/>
        <c:crosses val="autoZero"/>
        <c:crossBetween val="between"/>
      </c:valAx>
      <c:dTable>
        <c:showHorzBorder val="0"/>
        <c:showVertBorder val="1"/>
        <c:showOutline val="0"/>
        <c:showKeys val="0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strRef>
              <c:f>'3 касса'!$E$2:$E$51</c:f>
              <c:strCache>
                <c:ptCount val="50"/>
                <c:pt idx="0">
                  <c:v>Моя</c:v>
                </c:pt>
                <c:pt idx="1">
                  <c:v>Моя</c:v>
                </c:pt>
                <c:pt idx="2">
                  <c:v>Моя</c:v>
                </c:pt>
                <c:pt idx="3">
                  <c:v>Моя</c:v>
                </c:pt>
                <c:pt idx="4">
                  <c:v>Моя</c:v>
                </c:pt>
                <c:pt idx="5">
                  <c:v>Моя</c:v>
                </c:pt>
                <c:pt idx="6">
                  <c:v>Моя</c:v>
                </c:pt>
                <c:pt idx="7">
                  <c:v>Моя</c:v>
                </c:pt>
                <c:pt idx="8">
                  <c:v>Моя</c:v>
                </c:pt>
                <c:pt idx="9">
                  <c:v>Моя</c:v>
                </c:pt>
                <c:pt idx="10">
                  <c:v>Моя</c:v>
                </c:pt>
                <c:pt idx="11">
                  <c:v>Моя</c:v>
                </c:pt>
                <c:pt idx="12">
                  <c:v>Моя</c:v>
                </c:pt>
                <c:pt idx="13">
                  <c:v>Моя</c:v>
                </c:pt>
                <c:pt idx="14">
                  <c:v>Моя</c:v>
                </c:pt>
                <c:pt idx="15">
                  <c:v>Моя</c:v>
                </c:pt>
                <c:pt idx="16">
                  <c:v>Моя</c:v>
                </c:pt>
                <c:pt idx="17">
                  <c:v>Моя</c:v>
                </c:pt>
                <c:pt idx="18">
                  <c:v>Моя</c:v>
                </c:pt>
                <c:pt idx="19">
                  <c:v>Моя</c:v>
                </c:pt>
                <c:pt idx="20">
                  <c:v>Моя</c:v>
                </c:pt>
                <c:pt idx="21">
                  <c:v>Моя</c:v>
                </c:pt>
                <c:pt idx="22">
                  <c:v>Моя</c:v>
                </c:pt>
                <c:pt idx="23">
                  <c:v>Моя</c:v>
                </c:pt>
                <c:pt idx="24">
                  <c:v>Моя</c:v>
                </c:pt>
                <c:pt idx="25">
                  <c:v>Моя</c:v>
                </c:pt>
                <c:pt idx="26">
                  <c:v>Моя</c:v>
                </c:pt>
                <c:pt idx="27">
                  <c:v>Моя</c:v>
                </c:pt>
                <c:pt idx="28">
                  <c:v>Моя</c:v>
                </c:pt>
                <c:pt idx="29">
                  <c:v>Моя</c:v>
                </c:pt>
                <c:pt idx="30">
                  <c:v>Моя</c:v>
                </c:pt>
                <c:pt idx="31">
                  <c:v>Моя</c:v>
                </c:pt>
                <c:pt idx="32">
                  <c:v>Моя</c:v>
                </c:pt>
                <c:pt idx="33">
                  <c:v>Моя</c:v>
                </c:pt>
                <c:pt idx="34">
                  <c:v>Моя</c:v>
                </c:pt>
                <c:pt idx="35">
                  <c:v>Моя</c:v>
                </c:pt>
                <c:pt idx="36">
                  <c:v>Моя</c:v>
                </c:pt>
                <c:pt idx="37">
                  <c:v>Моя</c:v>
                </c:pt>
                <c:pt idx="38">
                  <c:v>Моя</c:v>
                </c:pt>
                <c:pt idx="39">
                  <c:v>Моя</c:v>
                </c:pt>
                <c:pt idx="40">
                  <c:v>Моя</c:v>
                </c:pt>
                <c:pt idx="41">
                  <c:v>Моя</c:v>
                </c:pt>
                <c:pt idx="42">
                  <c:v>Моя</c:v>
                </c:pt>
                <c:pt idx="43">
                  <c:v>Моя</c:v>
                </c:pt>
                <c:pt idx="44">
                  <c:v>Моя</c:v>
                </c:pt>
                <c:pt idx="45">
                  <c:v>Моя</c:v>
                </c:pt>
                <c:pt idx="46">
                  <c:v>Моя</c:v>
                </c:pt>
                <c:pt idx="47">
                  <c:v>Моя</c:v>
                </c:pt>
                <c:pt idx="48">
                  <c:v>Моя</c:v>
                </c:pt>
                <c:pt idx="49">
                  <c:v>Моя</c:v>
                </c:pt>
              </c:strCache>
            </c:strRef>
          </c:cat>
          <c:val>
            <c:numRef>
              <c:f>'3 касса'!$Q$2:$Q$51</c:f>
              <c:numCache>
                <c:formatCode>General</c:formatCode>
                <c:ptCount val="50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A7-4107-A045-F56FC1672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608256"/>
        <c:axId val="501603992"/>
      </c:lineChart>
      <c:catAx>
        <c:axId val="5016082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01603992"/>
        <c:crosses val="autoZero"/>
        <c:auto val="1"/>
        <c:lblAlgn val="ctr"/>
        <c:lblOffset val="100"/>
        <c:noMultiLvlLbl val="0"/>
      </c:catAx>
      <c:valAx>
        <c:axId val="501603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0160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СООТНОШЕНИЕ ПОБЕД И ПОРАЖЕНИЙ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D39F-4DCB-B51A-14DDC93FE8E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D39F-4DCB-B51A-14DDC93FE8EC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'3 касса'!$W$1:$X$1</c:f>
              <c:strCache>
                <c:ptCount val="2"/>
                <c:pt idx="0">
                  <c:v>Процент побед</c:v>
                </c:pt>
                <c:pt idx="1">
                  <c:v>Процент поражений</c:v>
                </c:pt>
              </c:strCache>
            </c:strRef>
          </c:cat>
          <c:val>
            <c:numRef>
              <c:f>'3 касса'!$W$2:$X$2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9F-4DCB-B51A-14DDC93FE8E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ГРАФИК ИСХОДА</a:t>
            </a:r>
            <a:r>
              <a:rPr lang="ru-RU" baseline="0"/>
              <a:t>, ИДЕЯ СТАВКИ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2393158495556442E-2"/>
          <c:y val="6.89902772868351E-2"/>
          <c:w val="0.89449998549027598"/>
          <c:h val="0.8110946539896231"/>
        </c:manualLayout>
      </c:layout>
      <c:lineChart>
        <c:grouping val="standard"/>
        <c:varyColors val="0"/>
        <c:ser>
          <c:idx val="0"/>
          <c:order val="0"/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 касса'!$E$2:$E$71</c:f>
              <c:strCache>
                <c:ptCount val="70"/>
                <c:pt idx="0">
                  <c:v>Моя</c:v>
                </c:pt>
                <c:pt idx="1">
                  <c:v>Моя</c:v>
                </c:pt>
                <c:pt idx="2">
                  <c:v>Моя</c:v>
                </c:pt>
                <c:pt idx="3">
                  <c:v>Моя</c:v>
                </c:pt>
                <c:pt idx="4">
                  <c:v>Моя</c:v>
                </c:pt>
                <c:pt idx="5">
                  <c:v>Моя</c:v>
                </c:pt>
                <c:pt idx="6">
                  <c:v>Моя</c:v>
                </c:pt>
                <c:pt idx="7">
                  <c:v>Моя</c:v>
                </c:pt>
                <c:pt idx="8">
                  <c:v>Моя</c:v>
                </c:pt>
                <c:pt idx="9">
                  <c:v>Моя</c:v>
                </c:pt>
                <c:pt idx="10">
                  <c:v>Моя</c:v>
                </c:pt>
                <c:pt idx="11">
                  <c:v>Моя</c:v>
                </c:pt>
                <c:pt idx="12">
                  <c:v>Моя</c:v>
                </c:pt>
                <c:pt idx="13">
                  <c:v>Моя</c:v>
                </c:pt>
                <c:pt idx="14">
                  <c:v>Моя</c:v>
                </c:pt>
                <c:pt idx="15">
                  <c:v>Моя</c:v>
                </c:pt>
                <c:pt idx="16">
                  <c:v>Моя</c:v>
                </c:pt>
                <c:pt idx="17">
                  <c:v>Моя</c:v>
                </c:pt>
                <c:pt idx="18">
                  <c:v>Моя</c:v>
                </c:pt>
                <c:pt idx="19">
                  <c:v>Моя</c:v>
                </c:pt>
                <c:pt idx="20">
                  <c:v>Моя</c:v>
                </c:pt>
                <c:pt idx="21">
                  <c:v>Моя</c:v>
                </c:pt>
                <c:pt idx="22">
                  <c:v>Моя</c:v>
                </c:pt>
                <c:pt idx="23">
                  <c:v>Моя</c:v>
                </c:pt>
                <c:pt idx="24">
                  <c:v>Моя</c:v>
                </c:pt>
                <c:pt idx="25">
                  <c:v>Моя</c:v>
                </c:pt>
                <c:pt idx="26">
                  <c:v>Моя</c:v>
                </c:pt>
                <c:pt idx="27">
                  <c:v>Моя</c:v>
                </c:pt>
                <c:pt idx="28">
                  <c:v>Моя</c:v>
                </c:pt>
                <c:pt idx="29">
                  <c:v>Моя</c:v>
                </c:pt>
                <c:pt idx="30">
                  <c:v>Моя</c:v>
                </c:pt>
                <c:pt idx="31">
                  <c:v>Моя</c:v>
                </c:pt>
                <c:pt idx="32">
                  <c:v>Моя</c:v>
                </c:pt>
                <c:pt idx="33">
                  <c:v>Моя</c:v>
                </c:pt>
                <c:pt idx="34">
                  <c:v>Моя</c:v>
                </c:pt>
                <c:pt idx="35">
                  <c:v>Моя</c:v>
                </c:pt>
                <c:pt idx="36">
                  <c:v>Моя</c:v>
                </c:pt>
                <c:pt idx="37">
                  <c:v>Моя</c:v>
                </c:pt>
                <c:pt idx="38">
                  <c:v>Моя</c:v>
                </c:pt>
                <c:pt idx="39">
                  <c:v>Моя</c:v>
                </c:pt>
                <c:pt idx="40">
                  <c:v>Моя</c:v>
                </c:pt>
                <c:pt idx="41">
                  <c:v>Моя</c:v>
                </c:pt>
                <c:pt idx="42">
                  <c:v>Моя</c:v>
                </c:pt>
                <c:pt idx="43">
                  <c:v>Моя</c:v>
                </c:pt>
                <c:pt idx="44">
                  <c:v>Моя</c:v>
                </c:pt>
                <c:pt idx="45">
                  <c:v>Моя</c:v>
                </c:pt>
                <c:pt idx="46">
                  <c:v>Моя</c:v>
                </c:pt>
                <c:pt idx="47">
                  <c:v>Моя</c:v>
                </c:pt>
                <c:pt idx="48">
                  <c:v>Моя</c:v>
                </c:pt>
                <c:pt idx="49">
                  <c:v>Моя</c:v>
                </c:pt>
                <c:pt idx="50">
                  <c:v>Моя</c:v>
                </c:pt>
                <c:pt idx="51">
                  <c:v>Моя</c:v>
                </c:pt>
                <c:pt idx="52">
                  <c:v>Моя</c:v>
                </c:pt>
                <c:pt idx="53">
                  <c:v>Моя</c:v>
                </c:pt>
                <c:pt idx="54">
                  <c:v>Моя</c:v>
                </c:pt>
                <c:pt idx="55">
                  <c:v>Моя</c:v>
                </c:pt>
                <c:pt idx="56">
                  <c:v>Моя</c:v>
                </c:pt>
                <c:pt idx="57">
                  <c:v>Моя</c:v>
                </c:pt>
                <c:pt idx="58">
                  <c:v>Моя</c:v>
                </c:pt>
                <c:pt idx="59">
                  <c:v>Моя</c:v>
                </c:pt>
                <c:pt idx="60">
                  <c:v>Моя</c:v>
                </c:pt>
                <c:pt idx="61">
                  <c:v>Моя</c:v>
                </c:pt>
                <c:pt idx="62">
                  <c:v>Моя</c:v>
                </c:pt>
                <c:pt idx="63">
                  <c:v>Моя</c:v>
                </c:pt>
                <c:pt idx="64">
                  <c:v>Моя</c:v>
                </c:pt>
                <c:pt idx="65">
                  <c:v>Моя</c:v>
                </c:pt>
                <c:pt idx="66">
                  <c:v>Моя</c:v>
                </c:pt>
                <c:pt idx="67">
                  <c:v>Моя</c:v>
                </c:pt>
                <c:pt idx="68">
                  <c:v>Моя</c:v>
                </c:pt>
                <c:pt idx="69">
                  <c:v>Моя</c:v>
                </c:pt>
              </c:strCache>
            </c:strRef>
          </c:cat>
          <c:val>
            <c:numRef>
              <c:f>'3 касса'!$Q$2:$Q$71</c:f>
              <c:numCache>
                <c:formatCode>General</c:formatCode>
                <c:ptCount val="70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-2</c:v>
                </c:pt>
                <c:pt idx="68">
                  <c:v>-2</c:v>
                </c:pt>
                <c:pt idx="69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D2-4CE2-8E5C-4FFAB44AA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94792344"/>
        <c:axId val="494789392"/>
      </c:lineChart>
      <c:catAx>
        <c:axId val="494792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89392"/>
        <c:crosses val="autoZero"/>
        <c:auto val="1"/>
        <c:lblAlgn val="ctr"/>
        <c:lblOffset val="100"/>
        <c:noMultiLvlLbl val="0"/>
      </c:catAx>
      <c:valAx>
        <c:axId val="494789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923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ГРАФИК СУММ</a:t>
            </a:r>
            <a:r>
              <a:rPr lang="ru-RU" baseline="0"/>
              <a:t> </a:t>
            </a:r>
            <a:r>
              <a:rPr lang="ru-RU"/>
              <a:t>ВЫИГРЫША/ПРОИГРЫША, ИСХОД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 касса'!$J$1</c:f>
              <c:strCache>
                <c:ptCount val="1"/>
                <c:pt idx="0">
                  <c:v>Выигрыш составит</c:v>
                </c:pt>
              </c:strCache>
            </c:strRef>
          </c:tx>
          <c:spPr>
            <a:ln w="34925" cap="rnd">
              <a:solidFill>
                <a:schemeClr val="bg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'3 касса'!$P$2:$P$71</c:f>
              <c:strCache>
                <c:ptCount val="70"/>
                <c:pt idx="0">
                  <c:v>Не ставил</c:v>
                </c:pt>
                <c:pt idx="1">
                  <c:v>Не ставил</c:v>
                </c:pt>
                <c:pt idx="2">
                  <c:v>Не ставил</c:v>
                </c:pt>
                <c:pt idx="3">
                  <c:v>Не ставил</c:v>
                </c:pt>
                <c:pt idx="4">
                  <c:v>Не ставил</c:v>
                </c:pt>
                <c:pt idx="5">
                  <c:v>Не ставил</c:v>
                </c:pt>
                <c:pt idx="6">
                  <c:v>Не ставил</c:v>
                </c:pt>
                <c:pt idx="7">
                  <c:v>Не ставил</c:v>
                </c:pt>
                <c:pt idx="8">
                  <c:v>Не ставил</c:v>
                </c:pt>
                <c:pt idx="9">
                  <c:v>Не ставил</c:v>
                </c:pt>
                <c:pt idx="10">
                  <c:v>Не ставил</c:v>
                </c:pt>
                <c:pt idx="11">
                  <c:v>Не ставил</c:v>
                </c:pt>
                <c:pt idx="12">
                  <c:v>Не ставил</c:v>
                </c:pt>
                <c:pt idx="13">
                  <c:v>Не ставил</c:v>
                </c:pt>
                <c:pt idx="14">
                  <c:v>Не ставил</c:v>
                </c:pt>
                <c:pt idx="15">
                  <c:v>Не ставил</c:v>
                </c:pt>
                <c:pt idx="16">
                  <c:v>Не ставил</c:v>
                </c:pt>
                <c:pt idx="17">
                  <c:v>Не ставил</c:v>
                </c:pt>
                <c:pt idx="18">
                  <c:v>Не ставил</c:v>
                </c:pt>
                <c:pt idx="19">
                  <c:v>Не ставил</c:v>
                </c:pt>
                <c:pt idx="20">
                  <c:v>Не ставил</c:v>
                </c:pt>
                <c:pt idx="21">
                  <c:v>Не ставил</c:v>
                </c:pt>
                <c:pt idx="22">
                  <c:v>Не ставил</c:v>
                </c:pt>
                <c:pt idx="23">
                  <c:v>Не ставил</c:v>
                </c:pt>
                <c:pt idx="24">
                  <c:v>Не ставил</c:v>
                </c:pt>
                <c:pt idx="25">
                  <c:v>Не ставил</c:v>
                </c:pt>
                <c:pt idx="26">
                  <c:v>Не ставил</c:v>
                </c:pt>
                <c:pt idx="27">
                  <c:v>Не ставил</c:v>
                </c:pt>
                <c:pt idx="28">
                  <c:v>Не ставил</c:v>
                </c:pt>
                <c:pt idx="29">
                  <c:v>Не ставил</c:v>
                </c:pt>
                <c:pt idx="30">
                  <c:v>Не ставил</c:v>
                </c:pt>
                <c:pt idx="31">
                  <c:v>Не ставил</c:v>
                </c:pt>
                <c:pt idx="32">
                  <c:v>Не ставил</c:v>
                </c:pt>
                <c:pt idx="33">
                  <c:v>Не ставил</c:v>
                </c:pt>
                <c:pt idx="34">
                  <c:v>Не ставил</c:v>
                </c:pt>
                <c:pt idx="35">
                  <c:v>Не ставил</c:v>
                </c:pt>
                <c:pt idx="36">
                  <c:v>Не ставил</c:v>
                </c:pt>
                <c:pt idx="37">
                  <c:v>Не ставил</c:v>
                </c:pt>
                <c:pt idx="38">
                  <c:v>Не ставил</c:v>
                </c:pt>
                <c:pt idx="39">
                  <c:v>Не ставил</c:v>
                </c:pt>
                <c:pt idx="40">
                  <c:v>Не ставил</c:v>
                </c:pt>
                <c:pt idx="41">
                  <c:v>Не ставил</c:v>
                </c:pt>
                <c:pt idx="42">
                  <c:v>Не ставил</c:v>
                </c:pt>
                <c:pt idx="43">
                  <c:v>Не ставил</c:v>
                </c:pt>
                <c:pt idx="44">
                  <c:v>Не ставил</c:v>
                </c:pt>
                <c:pt idx="45">
                  <c:v>Не ставил</c:v>
                </c:pt>
                <c:pt idx="46">
                  <c:v>Не ставил</c:v>
                </c:pt>
                <c:pt idx="47">
                  <c:v>Не ставил</c:v>
                </c:pt>
                <c:pt idx="48">
                  <c:v>Не ставил</c:v>
                </c:pt>
                <c:pt idx="49">
                  <c:v>Не ставил</c:v>
                </c:pt>
                <c:pt idx="50">
                  <c:v>Не ставил</c:v>
                </c:pt>
                <c:pt idx="51">
                  <c:v>Не ставил</c:v>
                </c:pt>
                <c:pt idx="52">
                  <c:v>Не ставил</c:v>
                </c:pt>
                <c:pt idx="53">
                  <c:v>Не ставил</c:v>
                </c:pt>
                <c:pt idx="54">
                  <c:v>Не ставил</c:v>
                </c:pt>
                <c:pt idx="55">
                  <c:v>Не ставил</c:v>
                </c:pt>
                <c:pt idx="56">
                  <c:v>Не ставил</c:v>
                </c:pt>
                <c:pt idx="57">
                  <c:v>Не ставил</c:v>
                </c:pt>
                <c:pt idx="58">
                  <c:v>Не ставил</c:v>
                </c:pt>
                <c:pt idx="59">
                  <c:v>Не ставил</c:v>
                </c:pt>
                <c:pt idx="60">
                  <c:v>Не ставил</c:v>
                </c:pt>
                <c:pt idx="61">
                  <c:v>Не ставил</c:v>
                </c:pt>
                <c:pt idx="62">
                  <c:v>Не ставил</c:v>
                </c:pt>
                <c:pt idx="63">
                  <c:v>Не ставил</c:v>
                </c:pt>
                <c:pt idx="64">
                  <c:v>Не ставил</c:v>
                </c:pt>
                <c:pt idx="65">
                  <c:v>Не ставил</c:v>
                </c:pt>
                <c:pt idx="66">
                  <c:v>Не ставил</c:v>
                </c:pt>
                <c:pt idx="67">
                  <c:v>Не ставил</c:v>
                </c:pt>
                <c:pt idx="68">
                  <c:v>Не ставил</c:v>
                </c:pt>
                <c:pt idx="69">
                  <c:v>Не ставил</c:v>
                </c:pt>
              </c:strCache>
            </c:strRef>
          </c:cat>
          <c:val>
            <c:numRef>
              <c:f>'3 касса'!$J$2:$J$71</c:f>
              <c:numCache>
                <c:formatCode>#\ ##0.00\ "₽"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BF-4BD0-8BE1-5C1462575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792344"/>
        <c:axId val="494789392"/>
      </c:lineChart>
      <c:catAx>
        <c:axId val="494792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rnd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89392"/>
        <c:crosses val="autoZero"/>
        <c:auto val="1"/>
        <c:lblAlgn val="ctr"/>
        <c:lblOffset val="100"/>
        <c:noMultiLvlLbl val="0"/>
      </c:catAx>
      <c:valAx>
        <c:axId val="494789392"/>
        <c:scaling>
          <c:orientation val="minMax"/>
        </c:scaling>
        <c:delete val="0"/>
        <c:axPos val="l"/>
        <c:majorGridlines>
          <c:spPr>
            <a:ln w="9525" cap="rnd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\ ##0.00\ &quot;₽&quot;" sourceLinked="1"/>
        <c:majorTickMark val="none"/>
        <c:minorTickMark val="none"/>
        <c:tickLblPos val="nextTo"/>
        <c:spPr>
          <a:noFill/>
          <a:ln cap="rnd">
            <a:solidFill>
              <a:schemeClr val="lt1">
                <a:lumMod val="9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92344"/>
        <c:crosses val="autoZero"/>
        <c:crossBetween val="between"/>
      </c:valAx>
      <c:dTable>
        <c:showHorzBorder val="0"/>
        <c:showVertBorder val="1"/>
        <c:showOutline val="0"/>
        <c:showKeys val="0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strRef>
              <c:f>'4 касса'!$E$2:$E$51</c:f>
              <c:strCache>
                <c:ptCount val="50"/>
                <c:pt idx="0">
                  <c:v>Моя</c:v>
                </c:pt>
                <c:pt idx="1">
                  <c:v>Моя</c:v>
                </c:pt>
                <c:pt idx="2">
                  <c:v>Моя</c:v>
                </c:pt>
                <c:pt idx="3">
                  <c:v>Моя</c:v>
                </c:pt>
                <c:pt idx="4">
                  <c:v>Моя</c:v>
                </c:pt>
                <c:pt idx="5">
                  <c:v>Моя</c:v>
                </c:pt>
                <c:pt idx="6">
                  <c:v>Моя</c:v>
                </c:pt>
                <c:pt idx="7">
                  <c:v>Моя</c:v>
                </c:pt>
                <c:pt idx="8">
                  <c:v>Моя</c:v>
                </c:pt>
                <c:pt idx="9">
                  <c:v>Моя</c:v>
                </c:pt>
                <c:pt idx="10">
                  <c:v>Моя</c:v>
                </c:pt>
                <c:pt idx="11">
                  <c:v>Моя</c:v>
                </c:pt>
                <c:pt idx="12">
                  <c:v>Моя</c:v>
                </c:pt>
                <c:pt idx="13">
                  <c:v>Моя</c:v>
                </c:pt>
                <c:pt idx="14">
                  <c:v>Моя</c:v>
                </c:pt>
                <c:pt idx="15">
                  <c:v>Моя</c:v>
                </c:pt>
                <c:pt idx="16">
                  <c:v>Моя</c:v>
                </c:pt>
                <c:pt idx="17">
                  <c:v>Моя</c:v>
                </c:pt>
                <c:pt idx="18">
                  <c:v>Моя</c:v>
                </c:pt>
                <c:pt idx="19">
                  <c:v>Моя</c:v>
                </c:pt>
                <c:pt idx="20">
                  <c:v>Моя</c:v>
                </c:pt>
                <c:pt idx="21">
                  <c:v>Моя</c:v>
                </c:pt>
                <c:pt idx="22">
                  <c:v>Моя</c:v>
                </c:pt>
                <c:pt idx="23">
                  <c:v>Моя</c:v>
                </c:pt>
                <c:pt idx="24">
                  <c:v>Моя</c:v>
                </c:pt>
                <c:pt idx="25">
                  <c:v>Моя</c:v>
                </c:pt>
                <c:pt idx="26">
                  <c:v>Моя</c:v>
                </c:pt>
                <c:pt idx="27">
                  <c:v>Моя</c:v>
                </c:pt>
                <c:pt idx="28">
                  <c:v>Моя</c:v>
                </c:pt>
                <c:pt idx="29">
                  <c:v>Моя</c:v>
                </c:pt>
                <c:pt idx="30">
                  <c:v>Моя</c:v>
                </c:pt>
                <c:pt idx="31">
                  <c:v>Моя</c:v>
                </c:pt>
                <c:pt idx="32">
                  <c:v>Моя</c:v>
                </c:pt>
                <c:pt idx="33">
                  <c:v>Моя</c:v>
                </c:pt>
                <c:pt idx="34">
                  <c:v>Моя</c:v>
                </c:pt>
                <c:pt idx="35">
                  <c:v>Моя</c:v>
                </c:pt>
                <c:pt idx="36">
                  <c:v>Моя</c:v>
                </c:pt>
                <c:pt idx="37">
                  <c:v>Моя</c:v>
                </c:pt>
                <c:pt idx="38">
                  <c:v>Моя</c:v>
                </c:pt>
                <c:pt idx="39">
                  <c:v>Моя</c:v>
                </c:pt>
                <c:pt idx="40">
                  <c:v>Моя</c:v>
                </c:pt>
                <c:pt idx="41">
                  <c:v>Моя</c:v>
                </c:pt>
                <c:pt idx="42">
                  <c:v>Моя</c:v>
                </c:pt>
                <c:pt idx="43">
                  <c:v>Моя</c:v>
                </c:pt>
                <c:pt idx="44">
                  <c:v>Моя</c:v>
                </c:pt>
                <c:pt idx="45">
                  <c:v>Моя</c:v>
                </c:pt>
                <c:pt idx="46">
                  <c:v>Моя</c:v>
                </c:pt>
                <c:pt idx="47">
                  <c:v>Моя</c:v>
                </c:pt>
                <c:pt idx="48">
                  <c:v>Моя</c:v>
                </c:pt>
                <c:pt idx="49">
                  <c:v>Моя</c:v>
                </c:pt>
              </c:strCache>
            </c:strRef>
          </c:cat>
          <c:val>
            <c:numRef>
              <c:f>'4 касса'!$Q$2:$Q$51</c:f>
              <c:numCache>
                <c:formatCode>General</c:formatCode>
                <c:ptCount val="50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AE-42DA-AC4F-4624D63D3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608256"/>
        <c:axId val="501603992"/>
      </c:lineChart>
      <c:catAx>
        <c:axId val="5016082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01603992"/>
        <c:crosses val="autoZero"/>
        <c:auto val="1"/>
        <c:lblAlgn val="ctr"/>
        <c:lblOffset val="100"/>
        <c:noMultiLvlLbl val="0"/>
      </c:catAx>
      <c:valAx>
        <c:axId val="501603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0160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СООТНОШЕНИЕ ПОБЕД И ПОРАЖЕНИЙ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C5E9-4C62-9DC6-025B71D52C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C5E9-4C62-9DC6-025B71D52CD9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'4 касса'!$W$1:$X$1</c:f>
              <c:strCache>
                <c:ptCount val="2"/>
                <c:pt idx="0">
                  <c:v>Процент побед</c:v>
                </c:pt>
                <c:pt idx="1">
                  <c:v>Процент поражений</c:v>
                </c:pt>
              </c:strCache>
            </c:strRef>
          </c:cat>
          <c:val>
            <c:numRef>
              <c:f>'4 касса'!$W$2:$X$2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E9-4C62-9DC6-025B71D52CD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ГРАФИК ИСХОДА</a:t>
            </a:r>
            <a:r>
              <a:rPr lang="ru-RU" baseline="0"/>
              <a:t>, ИДЕЯ СТАВКИ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2393158495556442E-2"/>
          <c:y val="6.89902772868351E-2"/>
          <c:w val="0.89449998549027598"/>
          <c:h val="0.8110946539896231"/>
        </c:manualLayout>
      </c:layout>
      <c:lineChart>
        <c:grouping val="standard"/>
        <c:varyColors val="0"/>
        <c:ser>
          <c:idx val="0"/>
          <c:order val="0"/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'4 касса'!$E$2:$E$71</c:f>
              <c:strCache>
                <c:ptCount val="70"/>
                <c:pt idx="0">
                  <c:v>Моя</c:v>
                </c:pt>
                <c:pt idx="1">
                  <c:v>Моя</c:v>
                </c:pt>
                <c:pt idx="2">
                  <c:v>Моя</c:v>
                </c:pt>
                <c:pt idx="3">
                  <c:v>Моя</c:v>
                </c:pt>
                <c:pt idx="4">
                  <c:v>Моя</c:v>
                </c:pt>
                <c:pt idx="5">
                  <c:v>Моя</c:v>
                </c:pt>
                <c:pt idx="6">
                  <c:v>Моя</c:v>
                </c:pt>
                <c:pt idx="7">
                  <c:v>Моя</c:v>
                </c:pt>
                <c:pt idx="8">
                  <c:v>Моя</c:v>
                </c:pt>
                <c:pt idx="9">
                  <c:v>Моя</c:v>
                </c:pt>
                <c:pt idx="10">
                  <c:v>Моя</c:v>
                </c:pt>
                <c:pt idx="11">
                  <c:v>Моя</c:v>
                </c:pt>
                <c:pt idx="12">
                  <c:v>Моя</c:v>
                </c:pt>
                <c:pt idx="13">
                  <c:v>Моя</c:v>
                </c:pt>
                <c:pt idx="14">
                  <c:v>Моя</c:v>
                </c:pt>
                <c:pt idx="15">
                  <c:v>Моя</c:v>
                </c:pt>
                <c:pt idx="16">
                  <c:v>Моя</c:v>
                </c:pt>
                <c:pt idx="17">
                  <c:v>Моя</c:v>
                </c:pt>
                <c:pt idx="18">
                  <c:v>Моя</c:v>
                </c:pt>
                <c:pt idx="19">
                  <c:v>Моя</c:v>
                </c:pt>
                <c:pt idx="20">
                  <c:v>Моя</c:v>
                </c:pt>
                <c:pt idx="21">
                  <c:v>Моя</c:v>
                </c:pt>
                <c:pt idx="22">
                  <c:v>Моя</c:v>
                </c:pt>
                <c:pt idx="23">
                  <c:v>Моя</c:v>
                </c:pt>
                <c:pt idx="24">
                  <c:v>Моя</c:v>
                </c:pt>
                <c:pt idx="25">
                  <c:v>Моя</c:v>
                </c:pt>
                <c:pt idx="26">
                  <c:v>Моя</c:v>
                </c:pt>
                <c:pt idx="27">
                  <c:v>Моя</c:v>
                </c:pt>
                <c:pt idx="28">
                  <c:v>Моя</c:v>
                </c:pt>
                <c:pt idx="29">
                  <c:v>Моя</c:v>
                </c:pt>
                <c:pt idx="30">
                  <c:v>Моя</c:v>
                </c:pt>
                <c:pt idx="31">
                  <c:v>Моя</c:v>
                </c:pt>
                <c:pt idx="32">
                  <c:v>Моя</c:v>
                </c:pt>
                <c:pt idx="33">
                  <c:v>Моя</c:v>
                </c:pt>
                <c:pt idx="34">
                  <c:v>Моя</c:v>
                </c:pt>
                <c:pt idx="35">
                  <c:v>Моя</c:v>
                </c:pt>
                <c:pt idx="36">
                  <c:v>Моя</c:v>
                </c:pt>
                <c:pt idx="37">
                  <c:v>Моя</c:v>
                </c:pt>
                <c:pt idx="38">
                  <c:v>Моя</c:v>
                </c:pt>
                <c:pt idx="39">
                  <c:v>Моя</c:v>
                </c:pt>
                <c:pt idx="40">
                  <c:v>Моя</c:v>
                </c:pt>
                <c:pt idx="41">
                  <c:v>Моя</c:v>
                </c:pt>
                <c:pt idx="42">
                  <c:v>Моя</c:v>
                </c:pt>
                <c:pt idx="43">
                  <c:v>Моя</c:v>
                </c:pt>
                <c:pt idx="44">
                  <c:v>Моя</c:v>
                </c:pt>
                <c:pt idx="45">
                  <c:v>Моя</c:v>
                </c:pt>
                <c:pt idx="46">
                  <c:v>Моя</c:v>
                </c:pt>
                <c:pt idx="47">
                  <c:v>Моя</c:v>
                </c:pt>
                <c:pt idx="48">
                  <c:v>Моя</c:v>
                </c:pt>
                <c:pt idx="49">
                  <c:v>Моя</c:v>
                </c:pt>
                <c:pt idx="50">
                  <c:v>Моя</c:v>
                </c:pt>
                <c:pt idx="51">
                  <c:v>Моя</c:v>
                </c:pt>
                <c:pt idx="52">
                  <c:v>Моя</c:v>
                </c:pt>
                <c:pt idx="53">
                  <c:v>Моя</c:v>
                </c:pt>
                <c:pt idx="54">
                  <c:v>Моя</c:v>
                </c:pt>
                <c:pt idx="55">
                  <c:v>Моя</c:v>
                </c:pt>
                <c:pt idx="56">
                  <c:v>Моя</c:v>
                </c:pt>
                <c:pt idx="57">
                  <c:v>Моя</c:v>
                </c:pt>
                <c:pt idx="58">
                  <c:v>Моя</c:v>
                </c:pt>
                <c:pt idx="59">
                  <c:v>Моя</c:v>
                </c:pt>
                <c:pt idx="60">
                  <c:v>Моя</c:v>
                </c:pt>
                <c:pt idx="61">
                  <c:v>Моя</c:v>
                </c:pt>
                <c:pt idx="62">
                  <c:v>Моя</c:v>
                </c:pt>
                <c:pt idx="63">
                  <c:v>Моя</c:v>
                </c:pt>
                <c:pt idx="64">
                  <c:v>Моя</c:v>
                </c:pt>
                <c:pt idx="65">
                  <c:v>Моя</c:v>
                </c:pt>
                <c:pt idx="66">
                  <c:v>Моя</c:v>
                </c:pt>
                <c:pt idx="67">
                  <c:v>Моя</c:v>
                </c:pt>
                <c:pt idx="68">
                  <c:v>Моя</c:v>
                </c:pt>
                <c:pt idx="69">
                  <c:v>Моя</c:v>
                </c:pt>
              </c:strCache>
            </c:strRef>
          </c:cat>
          <c:val>
            <c:numRef>
              <c:f>'4 касса'!$Q$2:$Q$71</c:f>
              <c:numCache>
                <c:formatCode>General</c:formatCode>
                <c:ptCount val="70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-2</c:v>
                </c:pt>
                <c:pt idx="68">
                  <c:v>-2</c:v>
                </c:pt>
                <c:pt idx="69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90-406C-B19C-F1329B1E3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94792344"/>
        <c:axId val="494789392"/>
      </c:lineChart>
      <c:catAx>
        <c:axId val="494792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89392"/>
        <c:crosses val="autoZero"/>
        <c:auto val="1"/>
        <c:lblAlgn val="ctr"/>
        <c:lblOffset val="100"/>
        <c:noMultiLvlLbl val="0"/>
      </c:catAx>
      <c:valAx>
        <c:axId val="494789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923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ГРАФИК СУММ</a:t>
            </a:r>
            <a:r>
              <a:rPr lang="ru-RU" baseline="0"/>
              <a:t> </a:t>
            </a:r>
            <a:r>
              <a:rPr lang="ru-RU"/>
              <a:t>ВЫИГРЫША/ПРОИГРЫША, ИСХОД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'4 касса'!$J$1</c:f>
              <c:strCache>
                <c:ptCount val="1"/>
                <c:pt idx="0">
                  <c:v>Выигрыш составит</c:v>
                </c:pt>
              </c:strCache>
            </c:strRef>
          </c:tx>
          <c:spPr>
            <a:ln w="34925" cap="rnd">
              <a:solidFill>
                <a:schemeClr val="bg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'4 касса'!$P$2:$P$71</c:f>
              <c:strCache>
                <c:ptCount val="70"/>
                <c:pt idx="0">
                  <c:v>Не ставил</c:v>
                </c:pt>
                <c:pt idx="1">
                  <c:v>Не ставил</c:v>
                </c:pt>
                <c:pt idx="2">
                  <c:v>Не ставил</c:v>
                </c:pt>
                <c:pt idx="3">
                  <c:v>Не ставил</c:v>
                </c:pt>
                <c:pt idx="4">
                  <c:v>Не ставил</c:v>
                </c:pt>
                <c:pt idx="5">
                  <c:v>Не ставил</c:v>
                </c:pt>
                <c:pt idx="6">
                  <c:v>Не ставил</c:v>
                </c:pt>
                <c:pt idx="7">
                  <c:v>Не ставил</c:v>
                </c:pt>
                <c:pt idx="8">
                  <c:v>Не ставил</c:v>
                </c:pt>
                <c:pt idx="9">
                  <c:v>Не ставил</c:v>
                </c:pt>
                <c:pt idx="10">
                  <c:v>Не ставил</c:v>
                </c:pt>
                <c:pt idx="11">
                  <c:v>Не ставил</c:v>
                </c:pt>
                <c:pt idx="12">
                  <c:v>Не ставил</c:v>
                </c:pt>
                <c:pt idx="13">
                  <c:v>Не ставил</c:v>
                </c:pt>
                <c:pt idx="14">
                  <c:v>Не ставил</c:v>
                </c:pt>
                <c:pt idx="15">
                  <c:v>Не ставил</c:v>
                </c:pt>
                <c:pt idx="16">
                  <c:v>Не ставил</c:v>
                </c:pt>
                <c:pt idx="17">
                  <c:v>Не ставил</c:v>
                </c:pt>
                <c:pt idx="18">
                  <c:v>Не ставил</c:v>
                </c:pt>
                <c:pt idx="19">
                  <c:v>Не ставил</c:v>
                </c:pt>
                <c:pt idx="20">
                  <c:v>Не ставил</c:v>
                </c:pt>
                <c:pt idx="21">
                  <c:v>Не ставил</c:v>
                </c:pt>
                <c:pt idx="22">
                  <c:v>Не ставил</c:v>
                </c:pt>
                <c:pt idx="23">
                  <c:v>Не ставил</c:v>
                </c:pt>
                <c:pt idx="24">
                  <c:v>Не ставил</c:v>
                </c:pt>
                <c:pt idx="25">
                  <c:v>Не ставил</c:v>
                </c:pt>
                <c:pt idx="26">
                  <c:v>Не ставил</c:v>
                </c:pt>
                <c:pt idx="27">
                  <c:v>Не ставил</c:v>
                </c:pt>
                <c:pt idx="28">
                  <c:v>Не ставил</c:v>
                </c:pt>
                <c:pt idx="29">
                  <c:v>Не ставил</c:v>
                </c:pt>
                <c:pt idx="30">
                  <c:v>Не ставил</c:v>
                </c:pt>
                <c:pt idx="31">
                  <c:v>Не ставил</c:v>
                </c:pt>
                <c:pt idx="32">
                  <c:v>Не ставил</c:v>
                </c:pt>
                <c:pt idx="33">
                  <c:v>Не ставил</c:v>
                </c:pt>
                <c:pt idx="34">
                  <c:v>Не ставил</c:v>
                </c:pt>
                <c:pt idx="35">
                  <c:v>Не ставил</c:v>
                </c:pt>
                <c:pt idx="36">
                  <c:v>Не ставил</c:v>
                </c:pt>
                <c:pt idx="37">
                  <c:v>Не ставил</c:v>
                </c:pt>
                <c:pt idx="38">
                  <c:v>Не ставил</c:v>
                </c:pt>
                <c:pt idx="39">
                  <c:v>Не ставил</c:v>
                </c:pt>
                <c:pt idx="40">
                  <c:v>Не ставил</c:v>
                </c:pt>
                <c:pt idx="41">
                  <c:v>Не ставил</c:v>
                </c:pt>
                <c:pt idx="42">
                  <c:v>Не ставил</c:v>
                </c:pt>
                <c:pt idx="43">
                  <c:v>Не ставил</c:v>
                </c:pt>
                <c:pt idx="44">
                  <c:v>Не ставил</c:v>
                </c:pt>
                <c:pt idx="45">
                  <c:v>Не ставил</c:v>
                </c:pt>
                <c:pt idx="46">
                  <c:v>Не ставил</c:v>
                </c:pt>
                <c:pt idx="47">
                  <c:v>Не ставил</c:v>
                </c:pt>
                <c:pt idx="48">
                  <c:v>Не ставил</c:v>
                </c:pt>
                <c:pt idx="49">
                  <c:v>Не ставил</c:v>
                </c:pt>
                <c:pt idx="50">
                  <c:v>Не ставил</c:v>
                </c:pt>
                <c:pt idx="51">
                  <c:v>Не ставил</c:v>
                </c:pt>
                <c:pt idx="52">
                  <c:v>Не ставил</c:v>
                </c:pt>
                <c:pt idx="53">
                  <c:v>Не ставил</c:v>
                </c:pt>
                <c:pt idx="54">
                  <c:v>Не ставил</c:v>
                </c:pt>
                <c:pt idx="55">
                  <c:v>Не ставил</c:v>
                </c:pt>
                <c:pt idx="56">
                  <c:v>Не ставил</c:v>
                </c:pt>
                <c:pt idx="57">
                  <c:v>Не ставил</c:v>
                </c:pt>
                <c:pt idx="58">
                  <c:v>Не ставил</c:v>
                </c:pt>
                <c:pt idx="59">
                  <c:v>Не ставил</c:v>
                </c:pt>
                <c:pt idx="60">
                  <c:v>Не ставил</c:v>
                </c:pt>
                <c:pt idx="61">
                  <c:v>Не ставил</c:v>
                </c:pt>
                <c:pt idx="62">
                  <c:v>Не ставил</c:v>
                </c:pt>
                <c:pt idx="63">
                  <c:v>Не ставил</c:v>
                </c:pt>
                <c:pt idx="64">
                  <c:v>Не ставил</c:v>
                </c:pt>
                <c:pt idx="65">
                  <c:v>Не ставил</c:v>
                </c:pt>
                <c:pt idx="66">
                  <c:v>Не ставил</c:v>
                </c:pt>
                <c:pt idx="67">
                  <c:v>Не ставил</c:v>
                </c:pt>
                <c:pt idx="68">
                  <c:v>Не ставил</c:v>
                </c:pt>
                <c:pt idx="69">
                  <c:v>Не ставил</c:v>
                </c:pt>
              </c:strCache>
            </c:strRef>
          </c:cat>
          <c:val>
            <c:numRef>
              <c:f>'4 касса'!$J$2:$J$71</c:f>
              <c:numCache>
                <c:formatCode>#\ ##0.00\ "₽"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5A-421A-8C9A-B96931E8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792344"/>
        <c:axId val="494789392"/>
      </c:lineChart>
      <c:catAx>
        <c:axId val="494792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rnd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89392"/>
        <c:crosses val="autoZero"/>
        <c:auto val="1"/>
        <c:lblAlgn val="ctr"/>
        <c:lblOffset val="100"/>
        <c:noMultiLvlLbl val="0"/>
      </c:catAx>
      <c:valAx>
        <c:axId val="494789392"/>
        <c:scaling>
          <c:orientation val="minMax"/>
        </c:scaling>
        <c:delete val="0"/>
        <c:axPos val="l"/>
        <c:majorGridlines>
          <c:spPr>
            <a:ln w="9525" cap="rnd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\ ##0.00\ &quot;₽&quot;" sourceLinked="1"/>
        <c:majorTickMark val="none"/>
        <c:minorTickMark val="none"/>
        <c:tickLblPos val="nextTo"/>
        <c:spPr>
          <a:noFill/>
          <a:ln cap="rnd">
            <a:solidFill>
              <a:schemeClr val="lt1">
                <a:lumMod val="9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92344"/>
        <c:crosses val="autoZero"/>
        <c:crossBetween val="between"/>
      </c:valAx>
      <c:dTable>
        <c:showHorzBorder val="0"/>
        <c:showVertBorder val="1"/>
        <c:showOutline val="0"/>
        <c:showKeys val="0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strRef>
              <c:f>'5 касса'!$E$2:$E$51</c:f>
              <c:strCache>
                <c:ptCount val="50"/>
                <c:pt idx="0">
                  <c:v>Моя</c:v>
                </c:pt>
                <c:pt idx="1">
                  <c:v>Моя</c:v>
                </c:pt>
                <c:pt idx="2">
                  <c:v>Моя</c:v>
                </c:pt>
                <c:pt idx="3">
                  <c:v>Моя</c:v>
                </c:pt>
                <c:pt idx="4">
                  <c:v>Моя</c:v>
                </c:pt>
                <c:pt idx="5">
                  <c:v>Моя</c:v>
                </c:pt>
                <c:pt idx="6">
                  <c:v>Моя</c:v>
                </c:pt>
                <c:pt idx="7">
                  <c:v>Моя</c:v>
                </c:pt>
                <c:pt idx="8">
                  <c:v>Моя</c:v>
                </c:pt>
                <c:pt idx="9">
                  <c:v>Моя</c:v>
                </c:pt>
                <c:pt idx="10">
                  <c:v>Моя</c:v>
                </c:pt>
                <c:pt idx="11">
                  <c:v>Моя</c:v>
                </c:pt>
                <c:pt idx="12">
                  <c:v>Моя</c:v>
                </c:pt>
                <c:pt idx="13">
                  <c:v>Моя</c:v>
                </c:pt>
                <c:pt idx="14">
                  <c:v>Моя</c:v>
                </c:pt>
                <c:pt idx="15">
                  <c:v>Моя</c:v>
                </c:pt>
                <c:pt idx="16">
                  <c:v>Моя</c:v>
                </c:pt>
                <c:pt idx="17">
                  <c:v>Моя</c:v>
                </c:pt>
                <c:pt idx="18">
                  <c:v>Моя</c:v>
                </c:pt>
                <c:pt idx="19">
                  <c:v>Моя</c:v>
                </c:pt>
                <c:pt idx="20">
                  <c:v>Моя</c:v>
                </c:pt>
                <c:pt idx="21">
                  <c:v>Моя</c:v>
                </c:pt>
                <c:pt idx="22">
                  <c:v>Моя</c:v>
                </c:pt>
                <c:pt idx="23">
                  <c:v>Моя</c:v>
                </c:pt>
                <c:pt idx="24">
                  <c:v>Моя</c:v>
                </c:pt>
                <c:pt idx="25">
                  <c:v>Моя</c:v>
                </c:pt>
                <c:pt idx="26">
                  <c:v>Моя</c:v>
                </c:pt>
                <c:pt idx="27">
                  <c:v>Моя</c:v>
                </c:pt>
                <c:pt idx="28">
                  <c:v>Моя</c:v>
                </c:pt>
                <c:pt idx="29">
                  <c:v>Моя</c:v>
                </c:pt>
                <c:pt idx="30">
                  <c:v>Моя</c:v>
                </c:pt>
                <c:pt idx="31">
                  <c:v>Моя</c:v>
                </c:pt>
                <c:pt idx="32">
                  <c:v>Моя</c:v>
                </c:pt>
                <c:pt idx="33">
                  <c:v>Моя</c:v>
                </c:pt>
                <c:pt idx="34">
                  <c:v>Моя</c:v>
                </c:pt>
                <c:pt idx="35">
                  <c:v>Моя</c:v>
                </c:pt>
                <c:pt idx="36">
                  <c:v>Моя</c:v>
                </c:pt>
                <c:pt idx="37">
                  <c:v>Моя</c:v>
                </c:pt>
                <c:pt idx="38">
                  <c:v>Моя</c:v>
                </c:pt>
                <c:pt idx="39">
                  <c:v>Моя</c:v>
                </c:pt>
                <c:pt idx="40">
                  <c:v>Моя</c:v>
                </c:pt>
                <c:pt idx="41">
                  <c:v>Моя</c:v>
                </c:pt>
                <c:pt idx="42">
                  <c:v>Моя</c:v>
                </c:pt>
                <c:pt idx="43">
                  <c:v>Моя</c:v>
                </c:pt>
                <c:pt idx="44">
                  <c:v>Моя</c:v>
                </c:pt>
                <c:pt idx="45">
                  <c:v>Моя</c:v>
                </c:pt>
                <c:pt idx="46">
                  <c:v>Моя</c:v>
                </c:pt>
                <c:pt idx="47">
                  <c:v>Моя</c:v>
                </c:pt>
                <c:pt idx="48">
                  <c:v>Моя</c:v>
                </c:pt>
                <c:pt idx="49">
                  <c:v>Моя</c:v>
                </c:pt>
              </c:strCache>
            </c:strRef>
          </c:cat>
          <c:val>
            <c:numRef>
              <c:f>'5 касса'!$Q$2:$Q$51</c:f>
              <c:numCache>
                <c:formatCode>General</c:formatCode>
                <c:ptCount val="50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4F-4924-BE5E-E20E8EEF49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608256"/>
        <c:axId val="501603992"/>
      </c:lineChart>
      <c:catAx>
        <c:axId val="5016082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01603992"/>
        <c:crosses val="autoZero"/>
        <c:auto val="1"/>
        <c:lblAlgn val="ctr"/>
        <c:lblOffset val="100"/>
        <c:noMultiLvlLbl val="0"/>
      </c:catAx>
      <c:valAx>
        <c:axId val="501603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0160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СООТНОШЕНИЕ ПОБЕД И ПОРАЖЕНИЙ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5A21-4C32-8795-83C23114BC7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5A21-4C32-8795-83C23114BC7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'5 касса'!$W$1:$X$1</c:f>
              <c:strCache>
                <c:ptCount val="2"/>
                <c:pt idx="0">
                  <c:v>Процент побед</c:v>
                </c:pt>
                <c:pt idx="1">
                  <c:v>Процент поражений</c:v>
                </c:pt>
              </c:strCache>
            </c:strRef>
          </c:cat>
          <c:val>
            <c:numRef>
              <c:f>'5 касса'!$W$2:$X$2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A21-4C32-8795-83C23114BC7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ГРАФИК ИСХОДА</a:t>
            </a:r>
            <a:r>
              <a:rPr lang="ru-RU" baseline="0"/>
              <a:t>, ИДЕЯ СТАВКИ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2393158495556442E-2"/>
          <c:y val="6.89902772868351E-2"/>
          <c:w val="0.89449998549027598"/>
          <c:h val="0.8110946539896231"/>
        </c:manualLayout>
      </c:layout>
      <c:lineChart>
        <c:grouping val="standard"/>
        <c:varyColors val="0"/>
        <c:ser>
          <c:idx val="0"/>
          <c:order val="0"/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'5 касса'!$E$2:$E$71</c:f>
              <c:strCache>
                <c:ptCount val="70"/>
                <c:pt idx="0">
                  <c:v>Моя</c:v>
                </c:pt>
                <c:pt idx="1">
                  <c:v>Моя</c:v>
                </c:pt>
                <c:pt idx="2">
                  <c:v>Моя</c:v>
                </c:pt>
                <c:pt idx="3">
                  <c:v>Моя</c:v>
                </c:pt>
                <c:pt idx="4">
                  <c:v>Моя</c:v>
                </c:pt>
                <c:pt idx="5">
                  <c:v>Моя</c:v>
                </c:pt>
                <c:pt idx="6">
                  <c:v>Моя</c:v>
                </c:pt>
                <c:pt idx="7">
                  <c:v>Моя</c:v>
                </c:pt>
                <c:pt idx="8">
                  <c:v>Моя</c:v>
                </c:pt>
                <c:pt idx="9">
                  <c:v>Моя</c:v>
                </c:pt>
                <c:pt idx="10">
                  <c:v>Моя</c:v>
                </c:pt>
                <c:pt idx="11">
                  <c:v>Моя</c:v>
                </c:pt>
                <c:pt idx="12">
                  <c:v>Моя</c:v>
                </c:pt>
                <c:pt idx="13">
                  <c:v>Моя</c:v>
                </c:pt>
                <c:pt idx="14">
                  <c:v>Моя</c:v>
                </c:pt>
                <c:pt idx="15">
                  <c:v>Моя</c:v>
                </c:pt>
                <c:pt idx="16">
                  <c:v>Моя</c:v>
                </c:pt>
                <c:pt idx="17">
                  <c:v>Моя</c:v>
                </c:pt>
                <c:pt idx="18">
                  <c:v>Моя</c:v>
                </c:pt>
                <c:pt idx="19">
                  <c:v>Моя</c:v>
                </c:pt>
                <c:pt idx="20">
                  <c:v>Моя</c:v>
                </c:pt>
                <c:pt idx="21">
                  <c:v>Моя</c:v>
                </c:pt>
                <c:pt idx="22">
                  <c:v>Моя</c:v>
                </c:pt>
                <c:pt idx="23">
                  <c:v>Моя</c:v>
                </c:pt>
                <c:pt idx="24">
                  <c:v>Моя</c:v>
                </c:pt>
                <c:pt idx="25">
                  <c:v>Моя</c:v>
                </c:pt>
                <c:pt idx="26">
                  <c:v>Моя</c:v>
                </c:pt>
                <c:pt idx="27">
                  <c:v>Моя</c:v>
                </c:pt>
                <c:pt idx="28">
                  <c:v>Моя</c:v>
                </c:pt>
                <c:pt idx="29">
                  <c:v>Моя</c:v>
                </c:pt>
                <c:pt idx="30">
                  <c:v>Моя</c:v>
                </c:pt>
                <c:pt idx="31">
                  <c:v>Моя</c:v>
                </c:pt>
                <c:pt idx="32">
                  <c:v>Моя</c:v>
                </c:pt>
                <c:pt idx="33">
                  <c:v>Моя</c:v>
                </c:pt>
                <c:pt idx="34">
                  <c:v>Моя</c:v>
                </c:pt>
                <c:pt idx="35">
                  <c:v>Моя</c:v>
                </c:pt>
                <c:pt idx="36">
                  <c:v>Моя</c:v>
                </c:pt>
                <c:pt idx="37">
                  <c:v>Моя</c:v>
                </c:pt>
                <c:pt idx="38">
                  <c:v>Моя</c:v>
                </c:pt>
                <c:pt idx="39">
                  <c:v>Моя</c:v>
                </c:pt>
                <c:pt idx="40">
                  <c:v>Моя</c:v>
                </c:pt>
                <c:pt idx="41">
                  <c:v>Моя</c:v>
                </c:pt>
                <c:pt idx="42">
                  <c:v>Моя</c:v>
                </c:pt>
                <c:pt idx="43">
                  <c:v>Моя</c:v>
                </c:pt>
                <c:pt idx="44">
                  <c:v>Моя</c:v>
                </c:pt>
                <c:pt idx="45">
                  <c:v>Моя</c:v>
                </c:pt>
                <c:pt idx="46">
                  <c:v>Моя</c:v>
                </c:pt>
                <c:pt idx="47">
                  <c:v>Моя</c:v>
                </c:pt>
                <c:pt idx="48">
                  <c:v>Моя</c:v>
                </c:pt>
                <c:pt idx="49">
                  <c:v>Моя</c:v>
                </c:pt>
                <c:pt idx="50">
                  <c:v>Моя</c:v>
                </c:pt>
                <c:pt idx="51">
                  <c:v>Моя</c:v>
                </c:pt>
                <c:pt idx="52">
                  <c:v>Моя</c:v>
                </c:pt>
                <c:pt idx="53">
                  <c:v>Моя</c:v>
                </c:pt>
                <c:pt idx="54">
                  <c:v>Моя</c:v>
                </c:pt>
                <c:pt idx="55">
                  <c:v>Моя</c:v>
                </c:pt>
                <c:pt idx="56">
                  <c:v>Моя</c:v>
                </c:pt>
                <c:pt idx="57">
                  <c:v>Моя</c:v>
                </c:pt>
                <c:pt idx="58">
                  <c:v>Моя</c:v>
                </c:pt>
                <c:pt idx="59">
                  <c:v>Моя</c:v>
                </c:pt>
                <c:pt idx="60">
                  <c:v>Моя</c:v>
                </c:pt>
                <c:pt idx="61">
                  <c:v>Моя</c:v>
                </c:pt>
                <c:pt idx="62">
                  <c:v>Моя</c:v>
                </c:pt>
                <c:pt idx="63">
                  <c:v>Моя</c:v>
                </c:pt>
                <c:pt idx="64">
                  <c:v>Моя</c:v>
                </c:pt>
                <c:pt idx="65">
                  <c:v>Моя</c:v>
                </c:pt>
                <c:pt idx="66">
                  <c:v>Моя</c:v>
                </c:pt>
                <c:pt idx="67">
                  <c:v>Моя</c:v>
                </c:pt>
                <c:pt idx="68">
                  <c:v>Моя</c:v>
                </c:pt>
                <c:pt idx="69">
                  <c:v>Моя</c:v>
                </c:pt>
              </c:strCache>
            </c:strRef>
          </c:cat>
          <c:val>
            <c:numRef>
              <c:f>'5 касса'!$Q$2:$Q$71</c:f>
              <c:numCache>
                <c:formatCode>General</c:formatCode>
                <c:ptCount val="70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-2</c:v>
                </c:pt>
                <c:pt idx="68">
                  <c:v>-2</c:v>
                </c:pt>
                <c:pt idx="69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25-46E5-B25D-4C22A4018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94792344"/>
        <c:axId val="494789392"/>
      </c:lineChart>
      <c:catAx>
        <c:axId val="494792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89392"/>
        <c:crosses val="autoZero"/>
        <c:auto val="1"/>
        <c:lblAlgn val="ctr"/>
        <c:lblOffset val="100"/>
        <c:noMultiLvlLbl val="0"/>
      </c:catAx>
      <c:valAx>
        <c:axId val="494789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923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ГРАФИК СУММ</a:t>
            </a:r>
            <a:r>
              <a:rPr lang="ru-RU" baseline="0"/>
              <a:t> </a:t>
            </a:r>
            <a:r>
              <a:rPr lang="ru-RU"/>
              <a:t>ВЫИГРЫША/ПРОИГРЫША, ИСХОД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'5 касса'!$J$1</c:f>
              <c:strCache>
                <c:ptCount val="1"/>
                <c:pt idx="0">
                  <c:v>Выигрыш составит</c:v>
                </c:pt>
              </c:strCache>
            </c:strRef>
          </c:tx>
          <c:spPr>
            <a:ln w="34925" cap="rnd">
              <a:solidFill>
                <a:schemeClr val="bg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'5 касса'!$P$2:$P$71</c:f>
              <c:strCache>
                <c:ptCount val="70"/>
                <c:pt idx="0">
                  <c:v>Не ставил</c:v>
                </c:pt>
                <c:pt idx="1">
                  <c:v>Не ставил</c:v>
                </c:pt>
                <c:pt idx="2">
                  <c:v>Не ставил</c:v>
                </c:pt>
                <c:pt idx="3">
                  <c:v>Не ставил</c:v>
                </c:pt>
                <c:pt idx="4">
                  <c:v>Не ставил</c:v>
                </c:pt>
                <c:pt idx="5">
                  <c:v>Не ставил</c:v>
                </c:pt>
                <c:pt idx="6">
                  <c:v>Не ставил</c:v>
                </c:pt>
                <c:pt idx="7">
                  <c:v>Не ставил</c:v>
                </c:pt>
                <c:pt idx="8">
                  <c:v>Не ставил</c:v>
                </c:pt>
                <c:pt idx="9">
                  <c:v>Не ставил</c:v>
                </c:pt>
                <c:pt idx="10">
                  <c:v>Не ставил</c:v>
                </c:pt>
                <c:pt idx="11">
                  <c:v>Не ставил</c:v>
                </c:pt>
                <c:pt idx="12">
                  <c:v>Не ставил</c:v>
                </c:pt>
                <c:pt idx="13">
                  <c:v>Не ставил</c:v>
                </c:pt>
                <c:pt idx="14">
                  <c:v>Не ставил</c:v>
                </c:pt>
                <c:pt idx="15">
                  <c:v>Не ставил</c:v>
                </c:pt>
                <c:pt idx="16">
                  <c:v>Не ставил</c:v>
                </c:pt>
                <c:pt idx="17">
                  <c:v>Не ставил</c:v>
                </c:pt>
                <c:pt idx="18">
                  <c:v>Не ставил</c:v>
                </c:pt>
                <c:pt idx="19">
                  <c:v>Не ставил</c:v>
                </c:pt>
                <c:pt idx="20">
                  <c:v>Не ставил</c:v>
                </c:pt>
                <c:pt idx="21">
                  <c:v>Не ставил</c:v>
                </c:pt>
                <c:pt idx="22">
                  <c:v>Не ставил</c:v>
                </c:pt>
                <c:pt idx="23">
                  <c:v>Не ставил</c:v>
                </c:pt>
                <c:pt idx="24">
                  <c:v>Не ставил</c:v>
                </c:pt>
                <c:pt idx="25">
                  <c:v>Не ставил</c:v>
                </c:pt>
                <c:pt idx="26">
                  <c:v>Не ставил</c:v>
                </c:pt>
                <c:pt idx="27">
                  <c:v>Не ставил</c:v>
                </c:pt>
                <c:pt idx="28">
                  <c:v>Не ставил</c:v>
                </c:pt>
                <c:pt idx="29">
                  <c:v>Не ставил</c:v>
                </c:pt>
                <c:pt idx="30">
                  <c:v>Не ставил</c:v>
                </c:pt>
                <c:pt idx="31">
                  <c:v>Не ставил</c:v>
                </c:pt>
                <c:pt idx="32">
                  <c:v>Не ставил</c:v>
                </c:pt>
                <c:pt idx="33">
                  <c:v>Не ставил</c:v>
                </c:pt>
                <c:pt idx="34">
                  <c:v>Не ставил</c:v>
                </c:pt>
                <c:pt idx="35">
                  <c:v>Не ставил</c:v>
                </c:pt>
                <c:pt idx="36">
                  <c:v>Не ставил</c:v>
                </c:pt>
                <c:pt idx="37">
                  <c:v>Не ставил</c:v>
                </c:pt>
                <c:pt idx="38">
                  <c:v>Не ставил</c:v>
                </c:pt>
                <c:pt idx="39">
                  <c:v>Не ставил</c:v>
                </c:pt>
                <c:pt idx="40">
                  <c:v>Не ставил</c:v>
                </c:pt>
                <c:pt idx="41">
                  <c:v>Не ставил</c:v>
                </c:pt>
                <c:pt idx="42">
                  <c:v>Не ставил</c:v>
                </c:pt>
                <c:pt idx="43">
                  <c:v>Не ставил</c:v>
                </c:pt>
                <c:pt idx="44">
                  <c:v>Не ставил</c:v>
                </c:pt>
                <c:pt idx="45">
                  <c:v>Не ставил</c:v>
                </c:pt>
                <c:pt idx="46">
                  <c:v>Не ставил</c:v>
                </c:pt>
                <c:pt idx="47">
                  <c:v>Не ставил</c:v>
                </c:pt>
                <c:pt idx="48">
                  <c:v>Не ставил</c:v>
                </c:pt>
                <c:pt idx="49">
                  <c:v>Не ставил</c:v>
                </c:pt>
                <c:pt idx="50">
                  <c:v>Не ставил</c:v>
                </c:pt>
                <c:pt idx="51">
                  <c:v>Не ставил</c:v>
                </c:pt>
                <c:pt idx="52">
                  <c:v>Не ставил</c:v>
                </c:pt>
                <c:pt idx="53">
                  <c:v>Не ставил</c:v>
                </c:pt>
                <c:pt idx="54">
                  <c:v>Не ставил</c:v>
                </c:pt>
                <c:pt idx="55">
                  <c:v>Не ставил</c:v>
                </c:pt>
                <c:pt idx="56">
                  <c:v>Не ставил</c:v>
                </c:pt>
                <c:pt idx="57">
                  <c:v>Не ставил</c:v>
                </c:pt>
                <c:pt idx="58">
                  <c:v>Не ставил</c:v>
                </c:pt>
                <c:pt idx="59">
                  <c:v>Не ставил</c:v>
                </c:pt>
                <c:pt idx="60">
                  <c:v>Не ставил</c:v>
                </c:pt>
                <c:pt idx="61">
                  <c:v>Не ставил</c:v>
                </c:pt>
                <c:pt idx="62">
                  <c:v>Не ставил</c:v>
                </c:pt>
                <c:pt idx="63">
                  <c:v>Не ставил</c:v>
                </c:pt>
                <c:pt idx="64">
                  <c:v>Не ставил</c:v>
                </c:pt>
                <c:pt idx="65">
                  <c:v>Не ставил</c:v>
                </c:pt>
                <c:pt idx="66">
                  <c:v>Не ставил</c:v>
                </c:pt>
                <c:pt idx="67">
                  <c:v>Не ставил</c:v>
                </c:pt>
                <c:pt idx="68">
                  <c:v>Не ставил</c:v>
                </c:pt>
                <c:pt idx="69">
                  <c:v>Не ставил</c:v>
                </c:pt>
              </c:strCache>
            </c:strRef>
          </c:cat>
          <c:val>
            <c:numRef>
              <c:f>'5 касса'!$J$2:$J$71</c:f>
              <c:numCache>
                <c:formatCode>#\ ##0.00\ "₽"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12-4732-A216-A905EBDCD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792344"/>
        <c:axId val="494789392"/>
      </c:lineChart>
      <c:catAx>
        <c:axId val="494792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rnd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89392"/>
        <c:crosses val="autoZero"/>
        <c:auto val="1"/>
        <c:lblAlgn val="ctr"/>
        <c:lblOffset val="100"/>
        <c:noMultiLvlLbl val="0"/>
      </c:catAx>
      <c:valAx>
        <c:axId val="494789392"/>
        <c:scaling>
          <c:orientation val="minMax"/>
        </c:scaling>
        <c:delete val="0"/>
        <c:axPos val="l"/>
        <c:majorGridlines>
          <c:spPr>
            <a:ln w="9525" cap="rnd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\ ##0.00\ &quot;₽&quot;" sourceLinked="1"/>
        <c:majorTickMark val="none"/>
        <c:minorTickMark val="none"/>
        <c:tickLblPos val="nextTo"/>
        <c:spPr>
          <a:noFill/>
          <a:ln cap="rnd">
            <a:solidFill>
              <a:schemeClr val="lt1">
                <a:lumMod val="9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92344"/>
        <c:crosses val="autoZero"/>
        <c:crossBetween val="between"/>
      </c:valAx>
      <c:dTable>
        <c:showHorzBorder val="0"/>
        <c:showVertBorder val="1"/>
        <c:showOutline val="0"/>
        <c:showKeys val="0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strRef>
              <c:f>'6 касса'!$E$2:$E$51</c:f>
              <c:strCache>
                <c:ptCount val="50"/>
                <c:pt idx="0">
                  <c:v>Моя</c:v>
                </c:pt>
                <c:pt idx="1">
                  <c:v>Моя</c:v>
                </c:pt>
                <c:pt idx="2">
                  <c:v>Моя</c:v>
                </c:pt>
                <c:pt idx="3">
                  <c:v>Моя</c:v>
                </c:pt>
                <c:pt idx="4">
                  <c:v>Моя</c:v>
                </c:pt>
                <c:pt idx="5">
                  <c:v>Моя</c:v>
                </c:pt>
                <c:pt idx="6">
                  <c:v>Моя</c:v>
                </c:pt>
                <c:pt idx="7">
                  <c:v>Моя</c:v>
                </c:pt>
                <c:pt idx="8">
                  <c:v>Моя</c:v>
                </c:pt>
                <c:pt idx="9">
                  <c:v>Моя</c:v>
                </c:pt>
                <c:pt idx="10">
                  <c:v>Моя</c:v>
                </c:pt>
                <c:pt idx="11">
                  <c:v>Моя</c:v>
                </c:pt>
                <c:pt idx="12">
                  <c:v>Моя</c:v>
                </c:pt>
                <c:pt idx="13">
                  <c:v>Моя</c:v>
                </c:pt>
                <c:pt idx="14">
                  <c:v>Моя</c:v>
                </c:pt>
                <c:pt idx="15">
                  <c:v>Моя</c:v>
                </c:pt>
                <c:pt idx="16">
                  <c:v>Моя</c:v>
                </c:pt>
                <c:pt idx="17">
                  <c:v>Моя</c:v>
                </c:pt>
                <c:pt idx="18">
                  <c:v>Моя</c:v>
                </c:pt>
                <c:pt idx="19">
                  <c:v>Моя</c:v>
                </c:pt>
                <c:pt idx="20">
                  <c:v>Моя</c:v>
                </c:pt>
                <c:pt idx="21">
                  <c:v>Моя</c:v>
                </c:pt>
                <c:pt idx="22">
                  <c:v>Моя</c:v>
                </c:pt>
                <c:pt idx="23">
                  <c:v>Моя</c:v>
                </c:pt>
                <c:pt idx="24">
                  <c:v>Моя</c:v>
                </c:pt>
                <c:pt idx="25">
                  <c:v>Моя</c:v>
                </c:pt>
                <c:pt idx="26">
                  <c:v>Моя</c:v>
                </c:pt>
                <c:pt idx="27">
                  <c:v>Моя</c:v>
                </c:pt>
                <c:pt idx="28">
                  <c:v>Моя</c:v>
                </c:pt>
                <c:pt idx="29">
                  <c:v>Моя</c:v>
                </c:pt>
                <c:pt idx="30">
                  <c:v>Моя</c:v>
                </c:pt>
                <c:pt idx="31">
                  <c:v>Моя</c:v>
                </c:pt>
                <c:pt idx="32">
                  <c:v>Моя</c:v>
                </c:pt>
                <c:pt idx="33">
                  <c:v>Моя</c:v>
                </c:pt>
                <c:pt idx="34">
                  <c:v>Моя</c:v>
                </c:pt>
                <c:pt idx="35">
                  <c:v>Моя</c:v>
                </c:pt>
                <c:pt idx="36">
                  <c:v>Моя</c:v>
                </c:pt>
                <c:pt idx="37">
                  <c:v>Моя</c:v>
                </c:pt>
                <c:pt idx="38">
                  <c:v>Моя</c:v>
                </c:pt>
                <c:pt idx="39">
                  <c:v>Моя</c:v>
                </c:pt>
                <c:pt idx="40">
                  <c:v>Моя</c:v>
                </c:pt>
                <c:pt idx="41">
                  <c:v>Моя</c:v>
                </c:pt>
                <c:pt idx="42">
                  <c:v>Моя</c:v>
                </c:pt>
                <c:pt idx="43">
                  <c:v>Моя</c:v>
                </c:pt>
                <c:pt idx="44">
                  <c:v>Моя</c:v>
                </c:pt>
                <c:pt idx="45">
                  <c:v>Моя</c:v>
                </c:pt>
                <c:pt idx="46">
                  <c:v>Моя</c:v>
                </c:pt>
                <c:pt idx="47">
                  <c:v>Моя</c:v>
                </c:pt>
                <c:pt idx="48">
                  <c:v>Моя</c:v>
                </c:pt>
                <c:pt idx="49">
                  <c:v>Моя</c:v>
                </c:pt>
              </c:strCache>
            </c:strRef>
          </c:cat>
          <c:val>
            <c:numRef>
              <c:f>'6 касса'!$Q$2:$Q$51</c:f>
              <c:numCache>
                <c:formatCode>General</c:formatCode>
                <c:ptCount val="50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A7-4886-BE28-08486FEAE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608256"/>
        <c:axId val="501603992"/>
      </c:lineChart>
      <c:catAx>
        <c:axId val="5016082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01603992"/>
        <c:crosses val="autoZero"/>
        <c:auto val="1"/>
        <c:lblAlgn val="ctr"/>
        <c:lblOffset val="100"/>
        <c:noMultiLvlLbl val="0"/>
      </c:catAx>
      <c:valAx>
        <c:axId val="501603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0160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СООТНОШЕНИЕ ПОБЕД И ПОРАЖЕНИЙ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E612-4B5C-8BBE-C3F8F0449F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E612-4B5C-8BBE-C3F8F0449FE9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'6 касса'!$W$1:$X$1</c:f>
              <c:strCache>
                <c:ptCount val="2"/>
                <c:pt idx="0">
                  <c:v>Процент побед</c:v>
                </c:pt>
                <c:pt idx="1">
                  <c:v>Процент поражений</c:v>
                </c:pt>
              </c:strCache>
            </c:strRef>
          </c:cat>
          <c:val>
            <c:numRef>
              <c:f>'6 касса'!$W$2:$X$2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12-4B5C-8BBE-C3F8F0449FE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ГРАФИК ИСХОДА</a:t>
            </a:r>
            <a:r>
              <a:rPr lang="ru-RU" baseline="0"/>
              <a:t>, ИДЕЯ СТАВКИ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2393158495556442E-2"/>
          <c:y val="6.89902772868351E-2"/>
          <c:w val="0.89449998549027598"/>
          <c:h val="0.8110946539896231"/>
        </c:manualLayout>
      </c:layout>
      <c:lineChart>
        <c:grouping val="standard"/>
        <c:varyColors val="0"/>
        <c:ser>
          <c:idx val="0"/>
          <c:order val="0"/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'6 касса'!$E$2:$E$71</c:f>
              <c:strCache>
                <c:ptCount val="70"/>
                <c:pt idx="0">
                  <c:v>Моя</c:v>
                </c:pt>
                <c:pt idx="1">
                  <c:v>Моя</c:v>
                </c:pt>
                <c:pt idx="2">
                  <c:v>Моя</c:v>
                </c:pt>
                <c:pt idx="3">
                  <c:v>Моя</c:v>
                </c:pt>
                <c:pt idx="4">
                  <c:v>Моя</c:v>
                </c:pt>
                <c:pt idx="5">
                  <c:v>Моя</c:v>
                </c:pt>
                <c:pt idx="6">
                  <c:v>Моя</c:v>
                </c:pt>
                <c:pt idx="7">
                  <c:v>Моя</c:v>
                </c:pt>
                <c:pt idx="8">
                  <c:v>Моя</c:v>
                </c:pt>
                <c:pt idx="9">
                  <c:v>Моя</c:v>
                </c:pt>
                <c:pt idx="10">
                  <c:v>Моя</c:v>
                </c:pt>
                <c:pt idx="11">
                  <c:v>Моя</c:v>
                </c:pt>
                <c:pt idx="12">
                  <c:v>Моя</c:v>
                </c:pt>
                <c:pt idx="13">
                  <c:v>Моя</c:v>
                </c:pt>
                <c:pt idx="14">
                  <c:v>Моя</c:v>
                </c:pt>
                <c:pt idx="15">
                  <c:v>Моя</c:v>
                </c:pt>
                <c:pt idx="16">
                  <c:v>Моя</c:v>
                </c:pt>
                <c:pt idx="17">
                  <c:v>Моя</c:v>
                </c:pt>
                <c:pt idx="18">
                  <c:v>Моя</c:v>
                </c:pt>
                <c:pt idx="19">
                  <c:v>Моя</c:v>
                </c:pt>
                <c:pt idx="20">
                  <c:v>Моя</c:v>
                </c:pt>
                <c:pt idx="21">
                  <c:v>Моя</c:v>
                </c:pt>
                <c:pt idx="22">
                  <c:v>Моя</c:v>
                </c:pt>
                <c:pt idx="23">
                  <c:v>Моя</c:v>
                </c:pt>
                <c:pt idx="24">
                  <c:v>Моя</c:v>
                </c:pt>
                <c:pt idx="25">
                  <c:v>Моя</c:v>
                </c:pt>
                <c:pt idx="26">
                  <c:v>Моя</c:v>
                </c:pt>
                <c:pt idx="27">
                  <c:v>Моя</c:v>
                </c:pt>
                <c:pt idx="28">
                  <c:v>Моя</c:v>
                </c:pt>
                <c:pt idx="29">
                  <c:v>Моя</c:v>
                </c:pt>
                <c:pt idx="30">
                  <c:v>Моя</c:v>
                </c:pt>
                <c:pt idx="31">
                  <c:v>Моя</c:v>
                </c:pt>
                <c:pt idx="32">
                  <c:v>Моя</c:v>
                </c:pt>
                <c:pt idx="33">
                  <c:v>Моя</c:v>
                </c:pt>
                <c:pt idx="34">
                  <c:v>Моя</c:v>
                </c:pt>
                <c:pt idx="35">
                  <c:v>Моя</c:v>
                </c:pt>
                <c:pt idx="36">
                  <c:v>Моя</c:v>
                </c:pt>
                <c:pt idx="37">
                  <c:v>Моя</c:v>
                </c:pt>
                <c:pt idx="38">
                  <c:v>Моя</c:v>
                </c:pt>
                <c:pt idx="39">
                  <c:v>Моя</c:v>
                </c:pt>
                <c:pt idx="40">
                  <c:v>Моя</c:v>
                </c:pt>
                <c:pt idx="41">
                  <c:v>Моя</c:v>
                </c:pt>
                <c:pt idx="42">
                  <c:v>Моя</c:v>
                </c:pt>
                <c:pt idx="43">
                  <c:v>Моя</c:v>
                </c:pt>
                <c:pt idx="44">
                  <c:v>Моя</c:v>
                </c:pt>
                <c:pt idx="45">
                  <c:v>Моя</c:v>
                </c:pt>
                <c:pt idx="46">
                  <c:v>Моя</c:v>
                </c:pt>
                <c:pt idx="47">
                  <c:v>Моя</c:v>
                </c:pt>
                <c:pt idx="48">
                  <c:v>Моя</c:v>
                </c:pt>
                <c:pt idx="49">
                  <c:v>Моя</c:v>
                </c:pt>
                <c:pt idx="50">
                  <c:v>Моя</c:v>
                </c:pt>
                <c:pt idx="51">
                  <c:v>Моя</c:v>
                </c:pt>
                <c:pt idx="52">
                  <c:v>Моя</c:v>
                </c:pt>
                <c:pt idx="53">
                  <c:v>Моя</c:v>
                </c:pt>
                <c:pt idx="54">
                  <c:v>Моя</c:v>
                </c:pt>
                <c:pt idx="55">
                  <c:v>Моя</c:v>
                </c:pt>
                <c:pt idx="56">
                  <c:v>Моя</c:v>
                </c:pt>
                <c:pt idx="57">
                  <c:v>Моя</c:v>
                </c:pt>
                <c:pt idx="58">
                  <c:v>Моя</c:v>
                </c:pt>
                <c:pt idx="59">
                  <c:v>Моя</c:v>
                </c:pt>
                <c:pt idx="60">
                  <c:v>Моя</c:v>
                </c:pt>
                <c:pt idx="61">
                  <c:v>Моя</c:v>
                </c:pt>
                <c:pt idx="62">
                  <c:v>Моя</c:v>
                </c:pt>
                <c:pt idx="63">
                  <c:v>Моя</c:v>
                </c:pt>
                <c:pt idx="64">
                  <c:v>Моя</c:v>
                </c:pt>
                <c:pt idx="65">
                  <c:v>Моя</c:v>
                </c:pt>
                <c:pt idx="66">
                  <c:v>Моя</c:v>
                </c:pt>
                <c:pt idx="67">
                  <c:v>Моя</c:v>
                </c:pt>
                <c:pt idx="68">
                  <c:v>Моя</c:v>
                </c:pt>
                <c:pt idx="69">
                  <c:v>Моя</c:v>
                </c:pt>
              </c:strCache>
            </c:strRef>
          </c:cat>
          <c:val>
            <c:numRef>
              <c:f>'6 касса'!$Q$2:$Q$71</c:f>
              <c:numCache>
                <c:formatCode>General</c:formatCode>
                <c:ptCount val="70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-2</c:v>
                </c:pt>
                <c:pt idx="68">
                  <c:v>-2</c:v>
                </c:pt>
                <c:pt idx="69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27-4436-BCC7-C6B7C547E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94792344"/>
        <c:axId val="494789392"/>
      </c:lineChart>
      <c:catAx>
        <c:axId val="494792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89392"/>
        <c:crosses val="autoZero"/>
        <c:auto val="1"/>
        <c:lblAlgn val="ctr"/>
        <c:lblOffset val="100"/>
        <c:noMultiLvlLbl val="0"/>
      </c:catAx>
      <c:valAx>
        <c:axId val="494789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923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ГРАФИК СУММ</a:t>
            </a:r>
            <a:r>
              <a:rPr lang="ru-RU" baseline="0"/>
              <a:t> </a:t>
            </a:r>
            <a:r>
              <a:rPr lang="ru-RU"/>
              <a:t>ВЫИГРЫША/ПРОИГРЫША, ИСХОД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'6 касса'!$J$1</c:f>
              <c:strCache>
                <c:ptCount val="1"/>
                <c:pt idx="0">
                  <c:v>Выигрыш составит</c:v>
                </c:pt>
              </c:strCache>
            </c:strRef>
          </c:tx>
          <c:spPr>
            <a:ln w="34925" cap="rnd">
              <a:solidFill>
                <a:schemeClr val="bg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'6 касса'!$P$2:$P$71</c:f>
              <c:strCache>
                <c:ptCount val="70"/>
                <c:pt idx="0">
                  <c:v>Не ставил</c:v>
                </c:pt>
                <c:pt idx="1">
                  <c:v>Не ставил</c:v>
                </c:pt>
                <c:pt idx="2">
                  <c:v>Не ставил</c:v>
                </c:pt>
                <c:pt idx="3">
                  <c:v>Не ставил</c:v>
                </c:pt>
                <c:pt idx="4">
                  <c:v>Не ставил</c:v>
                </c:pt>
                <c:pt idx="5">
                  <c:v>Не ставил</c:v>
                </c:pt>
                <c:pt idx="6">
                  <c:v>Не ставил</c:v>
                </c:pt>
                <c:pt idx="7">
                  <c:v>Не ставил</c:v>
                </c:pt>
                <c:pt idx="8">
                  <c:v>Не ставил</c:v>
                </c:pt>
                <c:pt idx="9">
                  <c:v>Не ставил</c:v>
                </c:pt>
                <c:pt idx="10">
                  <c:v>Не ставил</c:v>
                </c:pt>
                <c:pt idx="11">
                  <c:v>Не ставил</c:v>
                </c:pt>
                <c:pt idx="12">
                  <c:v>Не ставил</c:v>
                </c:pt>
                <c:pt idx="13">
                  <c:v>Не ставил</c:v>
                </c:pt>
                <c:pt idx="14">
                  <c:v>Не ставил</c:v>
                </c:pt>
                <c:pt idx="15">
                  <c:v>Не ставил</c:v>
                </c:pt>
                <c:pt idx="16">
                  <c:v>Не ставил</c:v>
                </c:pt>
                <c:pt idx="17">
                  <c:v>Не ставил</c:v>
                </c:pt>
                <c:pt idx="18">
                  <c:v>Не ставил</c:v>
                </c:pt>
                <c:pt idx="19">
                  <c:v>Не ставил</c:v>
                </c:pt>
                <c:pt idx="20">
                  <c:v>Не ставил</c:v>
                </c:pt>
                <c:pt idx="21">
                  <c:v>Не ставил</c:v>
                </c:pt>
                <c:pt idx="22">
                  <c:v>Не ставил</c:v>
                </c:pt>
                <c:pt idx="23">
                  <c:v>Не ставил</c:v>
                </c:pt>
                <c:pt idx="24">
                  <c:v>Не ставил</c:v>
                </c:pt>
                <c:pt idx="25">
                  <c:v>Не ставил</c:v>
                </c:pt>
                <c:pt idx="26">
                  <c:v>Не ставил</c:v>
                </c:pt>
                <c:pt idx="27">
                  <c:v>Не ставил</c:v>
                </c:pt>
                <c:pt idx="28">
                  <c:v>Не ставил</c:v>
                </c:pt>
                <c:pt idx="29">
                  <c:v>Не ставил</c:v>
                </c:pt>
                <c:pt idx="30">
                  <c:v>Не ставил</c:v>
                </c:pt>
                <c:pt idx="31">
                  <c:v>Не ставил</c:v>
                </c:pt>
                <c:pt idx="32">
                  <c:v>Не ставил</c:v>
                </c:pt>
                <c:pt idx="33">
                  <c:v>Не ставил</c:v>
                </c:pt>
                <c:pt idx="34">
                  <c:v>Не ставил</c:v>
                </c:pt>
                <c:pt idx="35">
                  <c:v>Не ставил</c:v>
                </c:pt>
                <c:pt idx="36">
                  <c:v>Не ставил</c:v>
                </c:pt>
                <c:pt idx="37">
                  <c:v>Не ставил</c:v>
                </c:pt>
                <c:pt idx="38">
                  <c:v>Не ставил</c:v>
                </c:pt>
                <c:pt idx="39">
                  <c:v>Не ставил</c:v>
                </c:pt>
                <c:pt idx="40">
                  <c:v>Не ставил</c:v>
                </c:pt>
                <c:pt idx="41">
                  <c:v>Не ставил</c:v>
                </c:pt>
                <c:pt idx="42">
                  <c:v>Не ставил</c:v>
                </c:pt>
                <c:pt idx="43">
                  <c:v>Не ставил</c:v>
                </c:pt>
                <c:pt idx="44">
                  <c:v>Не ставил</c:v>
                </c:pt>
                <c:pt idx="45">
                  <c:v>Не ставил</c:v>
                </c:pt>
                <c:pt idx="46">
                  <c:v>Не ставил</c:v>
                </c:pt>
                <c:pt idx="47">
                  <c:v>Не ставил</c:v>
                </c:pt>
                <c:pt idx="48">
                  <c:v>Не ставил</c:v>
                </c:pt>
                <c:pt idx="49">
                  <c:v>Не ставил</c:v>
                </c:pt>
                <c:pt idx="50">
                  <c:v>Не ставил</c:v>
                </c:pt>
                <c:pt idx="51">
                  <c:v>Не ставил</c:v>
                </c:pt>
                <c:pt idx="52">
                  <c:v>Не ставил</c:v>
                </c:pt>
                <c:pt idx="53">
                  <c:v>Не ставил</c:v>
                </c:pt>
                <c:pt idx="54">
                  <c:v>Не ставил</c:v>
                </c:pt>
                <c:pt idx="55">
                  <c:v>Не ставил</c:v>
                </c:pt>
                <c:pt idx="56">
                  <c:v>Не ставил</c:v>
                </c:pt>
                <c:pt idx="57">
                  <c:v>Не ставил</c:v>
                </c:pt>
                <c:pt idx="58">
                  <c:v>Не ставил</c:v>
                </c:pt>
                <c:pt idx="59">
                  <c:v>Не ставил</c:v>
                </c:pt>
                <c:pt idx="60">
                  <c:v>Не ставил</c:v>
                </c:pt>
                <c:pt idx="61">
                  <c:v>Не ставил</c:v>
                </c:pt>
                <c:pt idx="62">
                  <c:v>Не ставил</c:v>
                </c:pt>
                <c:pt idx="63">
                  <c:v>Не ставил</c:v>
                </c:pt>
                <c:pt idx="64">
                  <c:v>Не ставил</c:v>
                </c:pt>
                <c:pt idx="65">
                  <c:v>Не ставил</c:v>
                </c:pt>
                <c:pt idx="66">
                  <c:v>Не ставил</c:v>
                </c:pt>
                <c:pt idx="67">
                  <c:v>Не ставил</c:v>
                </c:pt>
                <c:pt idx="68">
                  <c:v>Не ставил</c:v>
                </c:pt>
                <c:pt idx="69">
                  <c:v>Не ставил</c:v>
                </c:pt>
              </c:strCache>
            </c:strRef>
          </c:cat>
          <c:val>
            <c:numRef>
              <c:f>'6 касса'!$J$2:$J$71</c:f>
              <c:numCache>
                <c:formatCode>#\ ##0.00\ "₽"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09-4021-B9AA-B2688182A1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792344"/>
        <c:axId val="494789392"/>
      </c:lineChart>
      <c:catAx>
        <c:axId val="494792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rnd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89392"/>
        <c:crosses val="autoZero"/>
        <c:auto val="1"/>
        <c:lblAlgn val="ctr"/>
        <c:lblOffset val="100"/>
        <c:noMultiLvlLbl val="0"/>
      </c:catAx>
      <c:valAx>
        <c:axId val="494789392"/>
        <c:scaling>
          <c:orientation val="minMax"/>
        </c:scaling>
        <c:delete val="0"/>
        <c:axPos val="l"/>
        <c:majorGridlines>
          <c:spPr>
            <a:ln w="9525" cap="rnd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\ ##0.00\ &quot;₽&quot;" sourceLinked="1"/>
        <c:majorTickMark val="none"/>
        <c:minorTickMark val="none"/>
        <c:tickLblPos val="nextTo"/>
        <c:spPr>
          <a:noFill/>
          <a:ln cap="rnd">
            <a:solidFill>
              <a:schemeClr val="lt1">
                <a:lumMod val="9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92344"/>
        <c:crosses val="autoZero"/>
        <c:crossBetween val="between"/>
      </c:valAx>
      <c:dTable>
        <c:showHorzBorder val="0"/>
        <c:showVertBorder val="1"/>
        <c:showOutline val="0"/>
        <c:showKeys val="0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strRef>
              <c:f>'7 касса'!$E$2:$E$51</c:f>
              <c:strCache>
                <c:ptCount val="50"/>
                <c:pt idx="0">
                  <c:v>Моя</c:v>
                </c:pt>
                <c:pt idx="1">
                  <c:v>Моя</c:v>
                </c:pt>
                <c:pt idx="2">
                  <c:v>Моя</c:v>
                </c:pt>
                <c:pt idx="3">
                  <c:v>Моя</c:v>
                </c:pt>
                <c:pt idx="4">
                  <c:v>Моя</c:v>
                </c:pt>
                <c:pt idx="5">
                  <c:v>Моя</c:v>
                </c:pt>
                <c:pt idx="6">
                  <c:v>Моя</c:v>
                </c:pt>
                <c:pt idx="7">
                  <c:v>Моя</c:v>
                </c:pt>
                <c:pt idx="8">
                  <c:v>Моя</c:v>
                </c:pt>
                <c:pt idx="9">
                  <c:v>Моя</c:v>
                </c:pt>
                <c:pt idx="10">
                  <c:v>Моя</c:v>
                </c:pt>
                <c:pt idx="11">
                  <c:v>Моя</c:v>
                </c:pt>
                <c:pt idx="12">
                  <c:v>Моя</c:v>
                </c:pt>
                <c:pt idx="13">
                  <c:v>Моя</c:v>
                </c:pt>
                <c:pt idx="14">
                  <c:v>Моя</c:v>
                </c:pt>
                <c:pt idx="15">
                  <c:v>Моя</c:v>
                </c:pt>
                <c:pt idx="16">
                  <c:v>Моя</c:v>
                </c:pt>
                <c:pt idx="17">
                  <c:v>Моя</c:v>
                </c:pt>
                <c:pt idx="18">
                  <c:v>Моя</c:v>
                </c:pt>
                <c:pt idx="19">
                  <c:v>Моя</c:v>
                </c:pt>
                <c:pt idx="20">
                  <c:v>Моя</c:v>
                </c:pt>
                <c:pt idx="21">
                  <c:v>Моя</c:v>
                </c:pt>
                <c:pt idx="22">
                  <c:v>Моя</c:v>
                </c:pt>
                <c:pt idx="23">
                  <c:v>Моя</c:v>
                </c:pt>
                <c:pt idx="24">
                  <c:v>Моя</c:v>
                </c:pt>
                <c:pt idx="25">
                  <c:v>Моя</c:v>
                </c:pt>
                <c:pt idx="26">
                  <c:v>Моя</c:v>
                </c:pt>
                <c:pt idx="27">
                  <c:v>Моя</c:v>
                </c:pt>
                <c:pt idx="28">
                  <c:v>Моя</c:v>
                </c:pt>
                <c:pt idx="29">
                  <c:v>Моя</c:v>
                </c:pt>
                <c:pt idx="30">
                  <c:v>Моя</c:v>
                </c:pt>
                <c:pt idx="31">
                  <c:v>Моя</c:v>
                </c:pt>
                <c:pt idx="32">
                  <c:v>Моя</c:v>
                </c:pt>
                <c:pt idx="33">
                  <c:v>Моя</c:v>
                </c:pt>
                <c:pt idx="34">
                  <c:v>Моя</c:v>
                </c:pt>
                <c:pt idx="35">
                  <c:v>Моя</c:v>
                </c:pt>
                <c:pt idx="36">
                  <c:v>Моя</c:v>
                </c:pt>
                <c:pt idx="37">
                  <c:v>Моя</c:v>
                </c:pt>
                <c:pt idx="38">
                  <c:v>Моя</c:v>
                </c:pt>
                <c:pt idx="39">
                  <c:v>Моя</c:v>
                </c:pt>
                <c:pt idx="40">
                  <c:v>Моя</c:v>
                </c:pt>
                <c:pt idx="41">
                  <c:v>Моя</c:v>
                </c:pt>
                <c:pt idx="42">
                  <c:v>Моя</c:v>
                </c:pt>
                <c:pt idx="43">
                  <c:v>Моя</c:v>
                </c:pt>
                <c:pt idx="44">
                  <c:v>Моя</c:v>
                </c:pt>
                <c:pt idx="45">
                  <c:v>Моя</c:v>
                </c:pt>
                <c:pt idx="46">
                  <c:v>Моя</c:v>
                </c:pt>
                <c:pt idx="47">
                  <c:v>Моя</c:v>
                </c:pt>
                <c:pt idx="48">
                  <c:v>Моя</c:v>
                </c:pt>
                <c:pt idx="49">
                  <c:v>Моя</c:v>
                </c:pt>
              </c:strCache>
            </c:strRef>
          </c:cat>
          <c:val>
            <c:numRef>
              <c:f>'7 касса'!$Q$2:$Q$51</c:f>
              <c:numCache>
                <c:formatCode>General</c:formatCode>
                <c:ptCount val="50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E4-473D-A25D-4B715F615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608256"/>
        <c:axId val="501603992"/>
      </c:lineChart>
      <c:catAx>
        <c:axId val="5016082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01603992"/>
        <c:crosses val="autoZero"/>
        <c:auto val="1"/>
        <c:lblAlgn val="ctr"/>
        <c:lblOffset val="100"/>
        <c:noMultiLvlLbl val="0"/>
      </c:catAx>
      <c:valAx>
        <c:axId val="501603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0160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СООТНОШЕНИЕ ПОБЕД И ПОРАЖЕНИЙ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FFEE-4D63-A4CE-E64829809FE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FFEE-4D63-A4CE-E64829809FE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'7 касса'!$W$1:$X$1</c:f>
              <c:strCache>
                <c:ptCount val="2"/>
                <c:pt idx="0">
                  <c:v>Процент побед</c:v>
                </c:pt>
                <c:pt idx="1">
                  <c:v>Процент поражений</c:v>
                </c:pt>
              </c:strCache>
            </c:strRef>
          </c:cat>
          <c:val>
            <c:numRef>
              <c:f>'7 касса'!$W$2:$X$2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EE-4D63-A4CE-E64829809FE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ГРАФИК ИСХОДА</a:t>
            </a:r>
            <a:r>
              <a:rPr lang="ru-RU" baseline="0"/>
              <a:t>, ИДЕЯ СТАВКИ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2393158495556442E-2"/>
          <c:y val="6.89902772868351E-2"/>
          <c:w val="0.89449998549027598"/>
          <c:h val="0.8110946539896231"/>
        </c:manualLayout>
      </c:layout>
      <c:lineChart>
        <c:grouping val="standard"/>
        <c:varyColors val="0"/>
        <c:ser>
          <c:idx val="0"/>
          <c:order val="0"/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'7 касса'!$E$2:$E$71</c:f>
              <c:strCache>
                <c:ptCount val="70"/>
                <c:pt idx="0">
                  <c:v>Моя</c:v>
                </c:pt>
                <c:pt idx="1">
                  <c:v>Моя</c:v>
                </c:pt>
                <c:pt idx="2">
                  <c:v>Моя</c:v>
                </c:pt>
                <c:pt idx="3">
                  <c:v>Моя</c:v>
                </c:pt>
                <c:pt idx="4">
                  <c:v>Моя</c:v>
                </c:pt>
                <c:pt idx="5">
                  <c:v>Моя</c:v>
                </c:pt>
                <c:pt idx="6">
                  <c:v>Моя</c:v>
                </c:pt>
                <c:pt idx="7">
                  <c:v>Моя</c:v>
                </c:pt>
                <c:pt idx="8">
                  <c:v>Моя</c:v>
                </c:pt>
                <c:pt idx="9">
                  <c:v>Моя</c:v>
                </c:pt>
                <c:pt idx="10">
                  <c:v>Моя</c:v>
                </c:pt>
                <c:pt idx="11">
                  <c:v>Моя</c:v>
                </c:pt>
                <c:pt idx="12">
                  <c:v>Моя</c:v>
                </c:pt>
                <c:pt idx="13">
                  <c:v>Моя</c:v>
                </c:pt>
                <c:pt idx="14">
                  <c:v>Моя</c:v>
                </c:pt>
                <c:pt idx="15">
                  <c:v>Моя</c:v>
                </c:pt>
                <c:pt idx="16">
                  <c:v>Моя</c:v>
                </c:pt>
                <c:pt idx="17">
                  <c:v>Моя</c:v>
                </c:pt>
                <c:pt idx="18">
                  <c:v>Моя</c:v>
                </c:pt>
                <c:pt idx="19">
                  <c:v>Моя</c:v>
                </c:pt>
                <c:pt idx="20">
                  <c:v>Моя</c:v>
                </c:pt>
                <c:pt idx="21">
                  <c:v>Моя</c:v>
                </c:pt>
                <c:pt idx="22">
                  <c:v>Моя</c:v>
                </c:pt>
                <c:pt idx="23">
                  <c:v>Моя</c:v>
                </c:pt>
                <c:pt idx="24">
                  <c:v>Моя</c:v>
                </c:pt>
                <c:pt idx="25">
                  <c:v>Моя</c:v>
                </c:pt>
                <c:pt idx="26">
                  <c:v>Моя</c:v>
                </c:pt>
                <c:pt idx="27">
                  <c:v>Моя</c:v>
                </c:pt>
                <c:pt idx="28">
                  <c:v>Моя</c:v>
                </c:pt>
                <c:pt idx="29">
                  <c:v>Моя</c:v>
                </c:pt>
                <c:pt idx="30">
                  <c:v>Моя</c:v>
                </c:pt>
                <c:pt idx="31">
                  <c:v>Моя</c:v>
                </c:pt>
                <c:pt idx="32">
                  <c:v>Моя</c:v>
                </c:pt>
                <c:pt idx="33">
                  <c:v>Моя</c:v>
                </c:pt>
                <c:pt idx="34">
                  <c:v>Моя</c:v>
                </c:pt>
                <c:pt idx="35">
                  <c:v>Моя</c:v>
                </c:pt>
                <c:pt idx="36">
                  <c:v>Моя</c:v>
                </c:pt>
                <c:pt idx="37">
                  <c:v>Моя</c:v>
                </c:pt>
                <c:pt idx="38">
                  <c:v>Моя</c:v>
                </c:pt>
                <c:pt idx="39">
                  <c:v>Моя</c:v>
                </c:pt>
                <c:pt idx="40">
                  <c:v>Моя</c:v>
                </c:pt>
                <c:pt idx="41">
                  <c:v>Моя</c:v>
                </c:pt>
                <c:pt idx="42">
                  <c:v>Моя</c:v>
                </c:pt>
                <c:pt idx="43">
                  <c:v>Моя</c:v>
                </c:pt>
                <c:pt idx="44">
                  <c:v>Моя</c:v>
                </c:pt>
                <c:pt idx="45">
                  <c:v>Моя</c:v>
                </c:pt>
                <c:pt idx="46">
                  <c:v>Моя</c:v>
                </c:pt>
                <c:pt idx="47">
                  <c:v>Моя</c:v>
                </c:pt>
                <c:pt idx="48">
                  <c:v>Моя</c:v>
                </c:pt>
                <c:pt idx="49">
                  <c:v>Моя</c:v>
                </c:pt>
                <c:pt idx="50">
                  <c:v>Моя</c:v>
                </c:pt>
                <c:pt idx="51">
                  <c:v>Моя</c:v>
                </c:pt>
                <c:pt idx="52">
                  <c:v>Моя</c:v>
                </c:pt>
                <c:pt idx="53">
                  <c:v>Моя</c:v>
                </c:pt>
                <c:pt idx="54">
                  <c:v>Моя</c:v>
                </c:pt>
                <c:pt idx="55">
                  <c:v>Моя</c:v>
                </c:pt>
                <c:pt idx="56">
                  <c:v>Моя</c:v>
                </c:pt>
                <c:pt idx="57">
                  <c:v>Моя</c:v>
                </c:pt>
                <c:pt idx="58">
                  <c:v>Моя</c:v>
                </c:pt>
                <c:pt idx="59">
                  <c:v>Моя</c:v>
                </c:pt>
                <c:pt idx="60">
                  <c:v>Моя</c:v>
                </c:pt>
                <c:pt idx="61">
                  <c:v>Моя</c:v>
                </c:pt>
                <c:pt idx="62">
                  <c:v>Моя</c:v>
                </c:pt>
                <c:pt idx="63">
                  <c:v>Моя</c:v>
                </c:pt>
                <c:pt idx="64">
                  <c:v>Моя</c:v>
                </c:pt>
                <c:pt idx="65">
                  <c:v>Моя</c:v>
                </c:pt>
                <c:pt idx="66">
                  <c:v>Моя</c:v>
                </c:pt>
                <c:pt idx="67">
                  <c:v>Моя</c:v>
                </c:pt>
                <c:pt idx="68">
                  <c:v>Моя</c:v>
                </c:pt>
                <c:pt idx="69">
                  <c:v>Моя</c:v>
                </c:pt>
              </c:strCache>
            </c:strRef>
          </c:cat>
          <c:val>
            <c:numRef>
              <c:f>'7 касса'!$Q$2:$Q$71</c:f>
              <c:numCache>
                <c:formatCode>General</c:formatCode>
                <c:ptCount val="70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-2</c:v>
                </c:pt>
                <c:pt idx="68">
                  <c:v>-2</c:v>
                </c:pt>
                <c:pt idx="69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3-4E1A-A30B-A1417315F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94792344"/>
        <c:axId val="494789392"/>
      </c:lineChart>
      <c:catAx>
        <c:axId val="494792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89392"/>
        <c:crosses val="autoZero"/>
        <c:auto val="1"/>
        <c:lblAlgn val="ctr"/>
        <c:lblOffset val="100"/>
        <c:noMultiLvlLbl val="0"/>
      </c:catAx>
      <c:valAx>
        <c:axId val="494789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923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ГРАФИК СУММ</a:t>
            </a:r>
            <a:r>
              <a:rPr lang="ru-RU" baseline="0"/>
              <a:t> </a:t>
            </a:r>
            <a:r>
              <a:rPr lang="ru-RU"/>
              <a:t>ВЫИГРЫША/ПРОИГРЫША, ИСХОД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'7 касса'!$J$1</c:f>
              <c:strCache>
                <c:ptCount val="1"/>
                <c:pt idx="0">
                  <c:v>Выигрыш составит</c:v>
                </c:pt>
              </c:strCache>
            </c:strRef>
          </c:tx>
          <c:spPr>
            <a:ln w="34925" cap="rnd">
              <a:solidFill>
                <a:schemeClr val="bg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'7 касса'!$P$2:$P$71</c:f>
              <c:strCache>
                <c:ptCount val="70"/>
                <c:pt idx="0">
                  <c:v>Не ставил</c:v>
                </c:pt>
                <c:pt idx="1">
                  <c:v>Не ставил</c:v>
                </c:pt>
                <c:pt idx="2">
                  <c:v>Не ставил</c:v>
                </c:pt>
                <c:pt idx="3">
                  <c:v>Не ставил</c:v>
                </c:pt>
                <c:pt idx="4">
                  <c:v>Не ставил</c:v>
                </c:pt>
                <c:pt idx="5">
                  <c:v>Не ставил</c:v>
                </c:pt>
                <c:pt idx="6">
                  <c:v>Не ставил</c:v>
                </c:pt>
                <c:pt idx="7">
                  <c:v>Не ставил</c:v>
                </c:pt>
                <c:pt idx="8">
                  <c:v>Не ставил</c:v>
                </c:pt>
                <c:pt idx="9">
                  <c:v>Не ставил</c:v>
                </c:pt>
                <c:pt idx="10">
                  <c:v>Не ставил</c:v>
                </c:pt>
                <c:pt idx="11">
                  <c:v>Не ставил</c:v>
                </c:pt>
                <c:pt idx="12">
                  <c:v>Не ставил</c:v>
                </c:pt>
                <c:pt idx="13">
                  <c:v>Не ставил</c:v>
                </c:pt>
                <c:pt idx="14">
                  <c:v>Не ставил</c:v>
                </c:pt>
                <c:pt idx="15">
                  <c:v>Не ставил</c:v>
                </c:pt>
                <c:pt idx="16">
                  <c:v>Не ставил</c:v>
                </c:pt>
                <c:pt idx="17">
                  <c:v>Не ставил</c:v>
                </c:pt>
                <c:pt idx="18">
                  <c:v>Не ставил</c:v>
                </c:pt>
                <c:pt idx="19">
                  <c:v>Не ставил</c:v>
                </c:pt>
                <c:pt idx="20">
                  <c:v>Не ставил</c:v>
                </c:pt>
                <c:pt idx="21">
                  <c:v>Не ставил</c:v>
                </c:pt>
                <c:pt idx="22">
                  <c:v>Не ставил</c:v>
                </c:pt>
                <c:pt idx="23">
                  <c:v>Не ставил</c:v>
                </c:pt>
                <c:pt idx="24">
                  <c:v>Не ставил</c:v>
                </c:pt>
                <c:pt idx="25">
                  <c:v>Не ставил</c:v>
                </c:pt>
                <c:pt idx="26">
                  <c:v>Не ставил</c:v>
                </c:pt>
                <c:pt idx="27">
                  <c:v>Не ставил</c:v>
                </c:pt>
                <c:pt idx="28">
                  <c:v>Не ставил</c:v>
                </c:pt>
                <c:pt idx="29">
                  <c:v>Не ставил</c:v>
                </c:pt>
                <c:pt idx="30">
                  <c:v>Не ставил</c:v>
                </c:pt>
                <c:pt idx="31">
                  <c:v>Не ставил</c:v>
                </c:pt>
                <c:pt idx="32">
                  <c:v>Не ставил</c:v>
                </c:pt>
                <c:pt idx="33">
                  <c:v>Не ставил</c:v>
                </c:pt>
                <c:pt idx="34">
                  <c:v>Не ставил</c:v>
                </c:pt>
                <c:pt idx="35">
                  <c:v>Не ставил</c:v>
                </c:pt>
                <c:pt idx="36">
                  <c:v>Не ставил</c:v>
                </c:pt>
                <c:pt idx="37">
                  <c:v>Не ставил</c:v>
                </c:pt>
                <c:pt idx="38">
                  <c:v>Не ставил</c:v>
                </c:pt>
                <c:pt idx="39">
                  <c:v>Не ставил</c:v>
                </c:pt>
                <c:pt idx="40">
                  <c:v>Не ставил</c:v>
                </c:pt>
                <c:pt idx="41">
                  <c:v>Не ставил</c:v>
                </c:pt>
                <c:pt idx="42">
                  <c:v>Не ставил</c:v>
                </c:pt>
                <c:pt idx="43">
                  <c:v>Не ставил</c:v>
                </c:pt>
                <c:pt idx="44">
                  <c:v>Не ставил</c:v>
                </c:pt>
                <c:pt idx="45">
                  <c:v>Не ставил</c:v>
                </c:pt>
                <c:pt idx="46">
                  <c:v>Не ставил</c:v>
                </c:pt>
                <c:pt idx="47">
                  <c:v>Не ставил</c:v>
                </c:pt>
                <c:pt idx="48">
                  <c:v>Не ставил</c:v>
                </c:pt>
                <c:pt idx="49">
                  <c:v>Не ставил</c:v>
                </c:pt>
                <c:pt idx="50">
                  <c:v>Не ставил</c:v>
                </c:pt>
                <c:pt idx="51">
                  <c:v>Не ставил</c:v>
                </c:pt>
                <c:pt idx="52">
                  <c:v>Не ставил</c:v>
                </c:pt>
                <c:pt idx="53">
                  <c:v>Не ставил</c:v>
                </c:pt>
                <c:pt idx="54">
                  <c:v>Не ставил</c:v>
                </c:pt>
                <c:pt idx="55">
                  <c:v>Не ставил</c:v>
                </c:pt>
                <c:pt idx="56">
                  <c:v>Не ставил</c:v>
                </c:pt>
                <c:pt idx="57">
                  <c:v>Не ставил</c:v>
                </c:pt>
                <c:pt idx="58">
                  <c:v>Не ставил</c:v>
                </c:pt>
                <c:pt idx="59">
                  <c:v>Не ставил</c:v>
                </c:pt>
                <c:pt idx="60">
                  <c:v>Не ставил</c:v>
                </c:pt>
                <c:pt idx="61">
                  <c:v>Не ставил</c:v>
                </c:pt>
                <c:pt idx="62">
                  <c:v>Не ставил</c:v>
                </c:pt>
                <c:pt idx="63">
                  <c:v>Не ставил</c:v>
                </c:pt>
                <c:pt idx="64">
                  <c:v>Не ставил</c:v>
                </c:pt>
                <c:pt idx="65">
                  <c:v>Не ставил</c:v>
                </c:pt>
                <c:pt idx="66">
                  <c:v>Не ставил</c:v>
                </c:pt>
                <c:pt idx="67">
                  <c:v>Не ставил</c:v>
                </c:pt>
                <c:pt idx="68">
                  <c:v>Не ставил</c:v>
                </c:pt>
                <c:pt idx="69">
                  <c:v>Не ставил</c:v>
                </c:pt>
              </c:strCache>
            </c:strRef>
          </c:cat>
          <c:val>
            <c:numRef>
              <c:f>'7 касса'!$J$2:$J$71</c:f>
              <c:numCache>
                <c:formatCode>#\ ##0.00\ "₽"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1E-474B-BFF8-73A009DA6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792344"/>
        <c:axId val="494789392"/>
      </c:lineChart>
      <c:catAx>
        <c:axId val="494792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rnd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89392"/>
        <c:crosses val="autoZero"/>
        <c:auto val="1"/>
        <c:lblAlgn val="ctr"/>
        <c:lblOffset val="100"/>
        <c:noMultiLvlLbl val="0"/>
      </c:catAx>
      <c:valAx>
        <c:axId val="494789392"/>
        <c:scaling>
          <c:orientation val="minMax"/>
        </c:scaling>
        <c:delete val="0"/>
        <c:axPos val="l"/>
        <c:majorGridlines>
          <c:spPr>
            <a:ln w="9525" cap="rnd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\ ##0.00\ &quot;₽&quot;" sourceLinked="1"/>
        <c:majorTickMark val="none"/>
        <c:minorTickMark val="none"/>
        <c:tickLblPos val="nextTo"/>
        <c:spPr>
          <a:noFill/>
          <a:ln cap="rnd">
            <a:solidFill>
              <a:schemeClr val="lt1">
                <a:lumMod val="9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92344"/>
        <c:crosses val="autoZero"/>
        <c:crossBetween val="between"/>
      </c:valAx>
      <c:dTable>
        <c:showHorzBorder val="0"/>
        <c:showVertBorder val="1"/>
        <c:showOutline val="0"/>
        <c:showKeys val="0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strRef>
              <c:f>'8 касса'!$E$2:$E$51</c:f>
              <c:strCache>
                <c:ptCount val="50"/>
                <c:pt idx="0">
                  <c:v>Моя</c:v>
                </c:pt>
                <c:pt idx="1">
                  <c:v>Моя</c:v>
                </c:pt>
                <c:pt idx="2">
                  <c:v>Моя</c:v>
                </c:pt>
                <c:pt idx="3">
                  <c:v>Моя</c:v>
                </c:pt>
                <c:pt idx="4">
                  <c:v>Моя</c:v>
                </c:pt>
                <c:pt idx="5">
                  <c:v>Моя</c:v>
                </c:pt>
                <c:pt idx="6">
                  <c:v>Моя</c:v>
                </c:pt>
                <c:pt idx="7">
                  <c:v>Моя</c:v>
                </c:pt>
                <c:pt idx="8">
                  <c:v>Моя</c:v>
                </c:pt>
                <c:pt idx="9">
                  <c:v>Моя</c:v>
                </c:pt>
                <c:pt idx="10">
                  <c:v>Моя</c:v>
                </c:pt>
                <c:pt idx="11">
                  <c:v>Моя</c:v>
                </c:pt>
                <c:pt idx="12">
                  <c:v>Моя</c:v>
                </c:pt>
                <c:pt idx="13">
                  <c:v>Моя</c:v>
                </c:pt>
                <c:pt idx="14">
                  <c:v>Моя</c:v>
                </c:pt>
                <c:pt idx="15">
                  <c:v>Моя</c:v>
                </c:pt>
                <c:pt idx="16">
                  <c:v>Моя</c:v>
                </c:pt>
                <c:pt idx="17">
                  <c:v>Моя</c:v>
                </c:pt>
                <c:pt idx="18">
                  <c:v>Моя</c:v>
                </c:pt>
                <c:pt idx="19">
                  <c:v>Моя</c:v>
                </c:pt>
                <c:pt idx="20">
                  <c:v>Моя</c:v>
                </c:pt>
                <c:pt idx="21">
                  <c:v>Моя</c:v>
                </c:pt>
                <c:pt idx="22">
                  <c:v>Моя</c:v>
                </c:pt>
                <c:pt idx="23">
                  <c:v>Моя</c:v>
                </c:pt>
                <c:pt idx="24">
                  <c:v>Моя</c:v>
                </c:pt>
                <c:pt idx="25">
                  <c:v>Моя</c:v>
                </c:pt>
                <c:pt idx="26">
                  <c:v>Моя</c:v>
                </c:pt>
                <c:pt idx="27">
                  <c:v>Моя</c:v>
                </c:pt>
                <c:pt idx="28">
                  <c:v>Моя</c:v>
                </c:pt>
                <c:pt idx="29">
                  <c:v>Моя</c:v>
                </c:pt>
                <c:pt idx="30">
                  <c:v>Моя</c:v>
                </c:pt>
                <c:pt idx="31">
                  <c:v>Моя</c:v>
                </c:pt>
                <c:pt idx="32">
                  <c:v>Моя</c:v>
                </c:pt>
                <c:pt idx="33">
                  <c:v>Моя</c:v>
                </c:pt>
                <c:pt idx="34">
                  <c:v>Моя</c:v>
                </c:pt>
                <c:pt idx="35">
                  <c:v>Моя</c:v>
                </c:pt>
                <c:pt idx="36">
                  <c:v>Моя</c:v>
                </c:pt>
                <c:pt idx="37">
                  <c:v>Моя</c:v>
                </c:pt>
                <c:pt idx="38">
                  <c:v>Моя</c:v>
                </c:pt>
                <c:pt idx="39">
                  <c:v>Моя</c:v>
                </c:pt>
                <c:pt idx="40">
                  <c:v>Моя</c:v>
                </c:pt>
                <c:pt idx="41">
                  <c:v>Моя</c:v>
                </c:pt>
                <c:pt idx="42">
                  <c:v>Моя</c:v>
                </c:pt>
                <c:pt idx="43">
                  <c:v>Моя</c:v>
                </c:pt>
                <c:pt idx="44">
                  <c:v>Моя</c:v>
                </c:pt>
                <c:pt idx="45">
                  <c:v>Моя</c:v>
                </c:pt>
                <c:pt idx="46">
                  <c:v>Моя</c:v>
                </c:pt>
                <c:pt idx="47">
                  <c:v>Моя</c:v>
                </c:pt>
                <c:pt idx="48">
                  <c:v>Моя</c:v>
                </c:pt>
                <c:pt idx="49">
                  <c:v>Моя</c:v>
                </c:pt>
              </c:strCache>
            </c:strRef>
          </c:cat>
          <c:val>
            <c:numRef>
              <c:f>'8 касса'!$Q$2:$Q$51</c:f>
              <c:numCache>
                <c:formatCode>General</c:formatCode>
                <c:ptCount val="50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F9-4F1A-A039-9A64191E3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608256"/>
        <c:axId val="501603992"/>
      </c:lineChart>
      <c:catAx>
        <c:axId val="5016082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01603992"/>
        <c:crosses val="autoZero"/>
        <c:auto val="1"/>
        <c:lblAlgn val="ctr"/>
        <c:lblOffset val="100"/>
        <c:noMultiLvlLbl val="0"/>
      </c:catAx>
      <c:valAx>
        <c:axId val="501603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0160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СООТНОШЕНИЕ ПОБЕД И ПОРАЖЕНИЙ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AF87-4684-B317-1BA2E14F375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AF87-4684-B317-1BA2E14F3751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'8 касса'!$W$1:$X$1</c:f>
              <c:strCache>
                <c:ptCount val="2"/>
                <c:pt idx="0">
                  <c:v>Процент побед</c:v>
                </c:pt>
                <c:pt idx="1">
                  <c:v>Процент поражений</c:v>
                </c:pt>
              </c:strCache>
            </c:strRef>
          </c:cat>
          <c:val>
            <c:numRef>
              <c:f>'8 касса'!$W$2:$X$2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87-4684-B317-1BA2E14F375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ГРАФИК ИСХОДА</a:t>
            </a:r>
            <a:r>
              <a:rPr lang="ru-RU" baseline="0"/>
              <a:t>, ИДЕЯ СТАВКИ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2393158495556442E-2"/>
          <c:y val="6.89902772868351E-2"/>
          <c:w val="0.89449998549027598"/>
          <c:h val="0.8110946539896231"/>
        </c:manualLayout>
      </c:layout>
      <c:lineChart>
        <c:grouping val="standard"/>
        <c:varyColors val="0"/>
        <c:ser>
          <c:idx val="0"/>
          <c:order val="0"/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'8 касса'!$E$2:$E$71</c:f>
              <c:strCache>
                <c:ptCount val="70"/>
                <c:pt idx="0">
                  <c:v>Моя</c:v>
                </c:pt>
                <c:pt idx="1">
                  <c:v>Моя</c:v>
                </c:pt>
                <c:pt idx="2">
                  <c:v>Моя</c:v>
                </c:pt>
                <c:pt idx="3">
                  <c:v>Моя</c:v>
                </c:pt>
                <c:pt idx="4">
                  <c:v>Моя</c:v>
                </c:pt>
                <c:pt idx="5">
                  <c:v>Моя</c:v>
                </c:pt>
                <c:pt idx="6">
                  <c:v>Моя</c:v>
                </c:pt>
                <c:pt idx="7">
                  <c:v>Моя</c:v>
                </c:pt>
                <c:pt idx="8">
                  <c:v>Моя</c:v>
                </c:pt>
                <c:pt idx="9">
                  <c:v>Моя</c:v>
                </c:pt>
                <c:pt idx="10">
                  <c:v>Моя</c:v>
                </c:pt>
                <c:pt idx="11">
                  <c:v>Моя</c:v>
                </c:pt>
                <c:pt idx="12">
                  <c:v>Моя</c:v>
                </c:pt>
                <c:pt idx="13">
                  <c:v>Моя</c:v>
                </c:pt>
                <c:pt idx="14">
                  <c:v>Моя</c:v>
                </c:pt>
                <c:pt idx="15">
                  <c:v>Моя</c:v>
                </c:pt>
                <c:pt idx="16">
                  <c:v>Моя</c:v>
                </c:pt>
                <c:pt idx="17">
                  <c:v>Моя</c:v>
                </c:pt>
                <c:pt idx="18">
                  <c:v>Моя</c:v>
                </c:pt>
                <c:pt idx="19">
                  <c:v>Моя</c:v>
                </c:pt>
                <c:pt idx="20">
                  <c:v>Моя</c:v>
                </c:pt>
                <c:pt idx="21">
                  <c:v>Моя</c:v>
                </c:pt>
                <c:pt idx="22">
                  <c:v>Моя</c:v>
                </c:pt>
                <c:pt idx="23">
                  <c:v>Моя</c:v>
                </c:pt>
                <c:pt idx="24">
                  <c:v>Моя</c:v>
                </c:pt>
                <c:pt idx="25">
                  <c:v>Моя</c:v>
                </c:pt>
                <c:pt idx="26">
                  <c:v>Моя</c:v>
                </c:pt>
                <c:pt idx="27">
                  <c:v>Моя</c:v>
                </c:pt>
                <c:pt idx="28">
                  <c:v>Моя</c:v>
                </c:pt>
                <c:pt idx="29">
                  <c:v>Моя</c:v>
                </c:pt>
                <c:pt idx="30">
                  <c:v>Моя</c:v>
                </c:pt>
                <c:pt idx="31">
                  <c:v>Моя</c:v>
                </c:pt>
                <c:pt idx="32">
                  <c:v>Моя</c:v>
                </c:pt>
                <c:pt idx="33">
                  <c:v>Моя</c:v>
                </c:pt>
                <c:pt idx="34">
                  <c:v>Моя</c:v>
                </c:pt>
                <c:pt idx="35">
                  <c:v>Моя</c:v>
                </c:pt>
                <c:pt idx="36">
                  <c:v>Моя</c:v>
                </c:pt>
                <c:pt idx="37">
                  <c:v>Моя</c:v>
                </c:pt>
                <c:pt idx="38">
                  <c:v>Моя</c:v>
                </c:pt>
                <c:pt idx="39">
                  <c:v>Моя</c:v>
                </c:pt>
                <c:pt idx="40">
                  <c:v>Моя</c:v>
                </c:pt>
                <c:pt idx="41">
                  <c:v>Моя</c:v>
                </c:pt>
                <c:pt idx="42">
                  <c:v>Моя</c:v>
                </c:pt>
                <c:pt idx="43">
                  <c:v>Моя</c:v>
                </c:pt>
                <c:pt idx="44">
                  <c:v>Моя</c:v>
                </c:pt>
                <c:pt idx="45">
                  <c:v>Моя</c:v>
                </c:pt>
                <c:pt idx="46">
                  <c:v>Моя</c:v>
                </c:pt>
                <c:pt idx="47">
                  <c:v>Моя</c:v>
                </c:pt>
                <c:pt idx="48">
                  <c:v>Моя</c:v>
                </c:pt>
                <c:pt idx="49">
                  <c:v>Моя</c:v>
                </c:pt>
                <c:pt idx="50">
                  <c:v>Моя</c:v>
                </c:pt>
                <c:pt idx="51">
                  <c:v>Моя</c:v>
                </c:pt>
                <c:pt idx="52">
                  <c:v>Моя</c:v>
                </c:pt>
                <c:pt idx="53">
                  <c:v>Моя</c:v>
                </c:pt>
                <c:pt idx="54">
                  <c:v>Моя</c:v>
                </c:pt>
                <c:pt idx="55">
                  <c:v>Моя</c:v>
                </c:pt>
                <c:pt idx="56">
                  <c:v>Моя</c:v>
                </c:pt>
                <c:pt idx="57">
                  <c:v>Моя</c:v>
                </c:pt>
                <c:pt idx="58">
                  <c:v>Моя</c:v>
                </c:pt>
                <c:pt idx="59">
                  <c:v>Моя</c:v>
                </c:pt>
                <c:pt idx="60">
                  <c:v>Моя</c:v>
                </c:pt>
                <c:pt idx="61">
                  <c:v>Моя</c:v>
                </c:pt>
                <c:pt idx="62">
                  <c:v>Моя</c:v>
                </c:pt>
                <c:pt idx="63">
                  <c:v>Моя</c:v>
                </c:pt>
                <c:pt idx="64">
                  <c:v>Моя</c:v>
                </c:pt>
                <c:pt idx="65">
                  <c:v>Моя</c:v>
                </c:pt>
                <c:pt idx="66">
                  <c:v>Моя</c:v>
                </c:pt>
                <c:pt idx="67">
                  <c:v>Моя</c:v>
                </c:pt>
                <c:pt idx="68">
                  <c:v>Моя</c:v>
                </c:pt>
                <c:pt idx="69">
                  <c:v>Моя</c:v>
                </c:pt>
              </c:strCache>
            </c:strRef>
          </c:cat>
          <c:val>
            <c:numRef>
              <c:f>'8 касса'!$Q$2:$Q$71</c:f>
              <c:numCache>
                <c:formatCode>General</c:formatCode>
                <c:ptCount val="70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-2</c:v>
                </c:pt>
                <c:pt idx="68">
                  <c:v>-2</c:v>
                </c:pt>
                <c:pt idx="69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4C-4C77-B0A6-575B98A13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94792344"/>
        <c:axId val="494789392"/>
      </c:lineChart>
      <c:catAx>
        <c:axId val="494792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89392"/>
        <c:crosses val="autoZero"/>
        <c:auto val="1"/>
        <c:lblAlgn val="ctr"/>
        <c:lblOffset val="100"/>
        <c:noMultiLvlLbl val="0"/>
      </c:catAx>
      <c:valAx>
        <c:axId val="494789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923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ГРАФИК СУММ</a:t>
            </a:r>
            <a:r>
              <a:rPr lang="ru-RU" baseline="0"/>
              <a:t> </a:t>
            </a:r>
            <a:r>
              <a:rPr lang="ru-RU"/>
              <a:t>ВЫИГРЫША/ПРОИГРЫША, ИСХОД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'8 касса'!$J$1</c:f>
              <c:strCache>
                <c:ptCount val="1"/>
                <c:pt idx="0">
                  <c:v>Выигрыш составит</c:v>
                </c:pt>
              </c:strCache>
            </c:strRef>
          </c:tx>
          <c:spPr>
            <a:ln w="34925" cap="rnd">
              <a:solidFill>
                <a:schemeClr val="bg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'8 касса'!$P$2:$P$71</c:f>
              <c:strCache>
                <c:ptCount val="70"/>
                <c:pt idx="0">
                  <c:v>Не ставил</c:v>
                </c:pt>
                <c:pt idx="1">
                  <c:v>Не ставил</c:v>
                </c:pt>
                <c:pt idx="2">
                  <c:v>Не ставил</c:v>
                </c:pt>
                <c:pt idx="3">
                  <c:v>Не ставил</c:v>
                </c:pt>
                <c:pt idx="4">
                  <c:v>Не ставил</c:v>
                </c:pt>
                <c:pt idx="5">
                  <c:v>Не ставил</c:v>
                </c:pt>
                <c:pt idx="6">
                  <c:v>Не ставил</c:v>
                </c:pt>
                <c:pt idx="7">
                  <c:v>Не ставил</c:v>
                </c:pt>
                <c:pt idx="8">
                  <c:v>Не ставил</c:v>
                </c:pt>
                <c:pt idx="9">
                  <c:v>Не ставил</c:v>
                </c:pt>
                <c:pt idx="10">
                  <c:v>Не ставил</c:v>
                </c:pt>
                <c:pt idx="11">
                  <c:v>Не ставил</c:v>
                </c:pt>
                <c:pt idx="12">
                  <c:v>Не ставил</c:v>
                </c:pt>
                <c:pt idx="13">
                  <c:v>Не ставил</c:v>
                </c:pt>
                <c:pt idx="14">
                  <c:v>Не ставил</c:v>
                </c:pt>
                <c:pt idx="15">
                  <c:v>Не ставил</c:v>
                </c:pt>
                <c:pt idx="16">
                  <c:v>Не ставил</c:v>
                </c:pt>
                <c:pt idx="17">
                  <c:v>Не ставил</c:v>
                </c:pt>
                <c:pt idx="18">
                  <c:v>Не ставил</c:v>
                </c:pt>
                <c:pt idx="19">
                  <c:v>Не ставил</c:v>
                </c:pt>
                <c:pt idx="20">
                  <c:v>Не ставил</c:v>
                </c:pt>
                <c:pt idx="21">
                  <c:v>Не ставил</c:v>
                </c:pt>
                <c:pt idx="22">
                  <c:v>Не ставил</c:v>
                </c:pt>
                <c:pt idx="23">
                  <c:v>Не ставил</c:v>
                </c:pt>
                <c:pt idx="24">
                  <c:v>Не ставил</c:v>
                </c:pt>
                <c:pt idx="25">
                  <c:v>Не ставил</c:v>
                </c:pt>
                <c:pt idx="26">
                  <c:v>Не ставил</c:v>
                </c:pt>
                <c:pt idx="27">
                  <c:v>Не ставил</c:v>
                </c:pt>
                <c:pt idx="28">
                  <c:v>Не ставил</c:v>
                </c:pt>
                <c:pt idx="29">
                  <c:v>Не ставил</c:v>
                </c:pt>
                <c:pt idx="30">
                  <c:v>Не ставил</c:v>
                </c:pt>
                <c:pt idx="31">
                  <c:v>Не ставил</c:v>
                </c:pt>
                <c:pt idx="32">
                  <c:v>Не ставил</c:v>
                </c:pt>
                <c:pt idx="33">
                  <c:v>Не ставил</c:v>
                </c:pt>
                <c:pt idx="34">
                  <c:v>Не ставил</c:v>
                </c:pt>
                <c:pt idx="35">
                  <c:v>Не ставил</c:v>
                </c:pt>
                <c:pt idx="36">
                  <c:v>Не ставил</c:v>
                </c:pt>
                <c:pt idx="37">
                  <c:v>Не ставил</c:v>
                </c:pt>
                <c:pt idx="38">
                  <c:v>Не ставил</c:v>
                </c:pt>
                <c:pt idx="39">
                  <c:v>Не ставил</c:v>
                </c:pt>
                <c:pt idx="40">
                  <c:v>Не ставил</c:v>
                </c:pt>
                <c:pt idx="41">
                  <c:v>Не ставил</c:v>
                </c:pt>
                <c:pt idx="42">
                  <c:v>Не ставил</c:v>
                </c:pt>
                <c:pt idx="43">
                  <c:v>Не ставил</c:v>
                </c:pt>
                <c:pt idx="44">
                  <c:v>Не ставил</c:v>
                </c:pt>
                <c:pt idx="45">
                  <c:v>Не ставил</c:v>
                </c:pt>
                <c:pt idx="46">
                  <c:v>Не ставил</c:v>
                </c:pt>
                <c:pt idx="47">
                  <c:v>Не ставил</c:v>
                </c:pt>
                <c:pt idx="48">
                  <c:v>Не ставил</c:v>
                </c:pt>
                <c:pt idx="49">
                  <c:v>Не ставил</c:v>
                </c:pt>
                <c:pt idx="50">
                  <c:v>Не ставил</c:v>
                </c:pt>
                <c:pt idx="51">
                  <c:v>Не ставил</c:v>
                </c:pt>
                <c:pt idx="52">
                  <c:v>Не ставил</c:v>
                </c:pt>
                <c:pt idx="53">
                  <c:v>Не ставил</c:v>
                </c:pt>
                <c:pt idx="54">
                  <c:v>Не ставил</c:v>
                </c:pt>
                <c:pt idx="55">
                  <c:v>Не ставил</c:v>
                </c:pt>
                <c:pt idx="56">
                  <c:v>Не ставил</c:v>
                </c:pt>
                <c:pt idx="57">
                  <c:v>Не ставил</c:v>
                </c:pt>
                <c:pt idx="58">
                  <c:v>Не ставил</c:v>
                </c:pt>
                <c:pt idx="59">
                  <c:v>Не ставил</c:v>
                </c:pt>
                <c:pt idx="60">
                  <c:v>Не ставил</c:v>
                </c:pt>
                <c:pt idx="61">
                  <c:v>Не ставил</c:v>
                </c:pt>
                <c:pt idx="62">
                  <c:v>Не ставил</c:v>
                </c:pt>
                <c:pt idx="63">
                  <c:v>Не ставил</c:v>
                </c:pt>
                <c:pt idx="64">
                  <c:v>Не ставил</c:v>
                </c:pt>
                <c:pt idx="65">
                  <c:v>Не ставил</c:v>
                </c:pt>
                <c:pt idx="66">
                  <c:v>Не ставил</c:v>
                </c:pt>
                <c:pt idx="67">
                  <c:v>Не ставил</c:v>
                </c:pt>
                <c:pt idx="68">
                  <c:v>Не ставил</c:v>
                </c:pt>
                <c:pt idx="69">
                  <c:v>Не ставил</c:v>
                </c:pt>
              </c:strCache>
            </c:strRef>
          </c:cat>
          <c:val>
            <c:numRef>
              <c:f>'8 касса'!$J$2:$J$71</c:f>
              <c:numCache>
                <c:formatCode>#\ ##0.00\ "₽"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BF-4F96-8A7E-34B15A896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792344"/>
        <c:axId val="494789392"/>
      </c:lineChart>
      <c:catAx>
        <c:axId val="494792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rnd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89392"/>
        <c:crosses val="autoZero"/>
        <c:auto val="1"/>
        <c:lblAlgn val="ctr"/>
        <c:lblOffset val="100"/>
        <c:noMultiLvlLbl val="0"/>
      </c:catAx>
      <c:valAx>
        <c:axId val="494789392"/>
        <c:scaling>
          <c:orientation val="minMax"/>
        </c:scaling>
        <c:delete val="0"/>
        <c:axPos val="l"/>
        <c:majorGridlines>
          <c:spPr>
            <a:ln w="9525" cap="rnd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\ ##0.00\ &quot;₽&quot;" sourceLinked="1"/>
        <c:majorTickMark val="none"/>
        <c:minorTickMark val="none"/>
        <c:tickLblPos val="nextTo"/>
        <c:spPr>
          <a:noFill/>
          <a:ln cap="rnd">
            <a:solidFill>
              <a:schemeClr val="lt1">
                <a:lumMod val="9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92344"/>
        <c:crosses val="autoZero"/>
        <c:crossBetween val="between"/>
      </c:valAx>
      <c:dTable>
        <c:showHorzBorder val="0"/>
        <c:showVertBorder val="1"/>
        <c:showOutline val="0"/>
        <c:showKeys val="0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strRef>
              <c:f>'9 касса'!$E$2:$E$51</c:f>
              <c:strCache>
                <c:ptCount val="50"/>
                <c:pt idx="0">
                  <c:v>Моя</c:v>
                </c:pt>
                <c:pt idx="1">
                  <c:v>Моя</c:v>
                </c:pt>
                <c:pt idx="2">
                  <c:v>Моя</c:v>
                </c:pt>
                <c:pt idx="3">
                  <c:v>Моя</c:v>
                </c:pt>
                <c:pt idx="4">
                  <c:v>Моя</c:v>
                </c:pt>
                <c:pt idx="5">
                  <c:v>Моя</c:v>
                </c:pt>
                <c:pt idx="6">
                  <c:v>Моя</c:v>
                </c:pt>
                <c:pt idx="7">
                  <c:v>Моя</c:v>
                </c:pt>
                <c:pt idx="8">
                  <c:v>Моя</c:v>
                </c:pt>
                <c:pt idx="9">
                  <c:v>Моя</c:v>
                </c:pt>
                <c:pt idx="10">
                  <c:v>Моя</c:v>
                </c:pt>
                <c:pt idx="11">
                  <c:v>Моя</c:v>
                </c:pt>
                <c:pt idx="12">
                  <c:v>Моя</c:v>
                </c:pt>
                <c:pt idx="13">
                  <c:v>Моя</c:v>
                </c:pt>
                <c:pt idx="14">
                  <c:v>Моя</c:v>
                </c:pt>
                <c:pt idx="15">
                  <c:v>Моя</c:v>
                </c:pt>
                <c:pt idx="16">
                  <c:v>Моя</c:v>
                </c:pt>
                <c:pt idx="17">
                  <c:v>Моя</c:v>
                </c:pt>
                <c:pt idx="18">
                  <c:v>Моя</c:v>
                </c:pt>
                <c:pt idx="19">
                  <c:v>Моя</c:v>
                </c:pt>
                <c:pt idx="20">
                  <c:v>Моя</c:v>
                </c:pt>
                <c:pt idx="21">
                  <c:v>Моя</c:v>
                </c:pt>
                <c:pt idx="22">
                  <c:v>Моя</c:v>
                </c:pt>
                <c:pt idx="23">
                  <c:v>Моя</c:v>
                </c:pt>
                <c:pt idx="24">
                  <c:v>Моя</c:v>
                </c:pt>
                <c:pt idx="25">
                  <c:v>Моя</c:v>
                </c:pt>
                <c:pt idx="26">
                  <c:v>Моя</c:v>
                </c:pt>
                <c:pt idx="27">
                  <c:v>Моя</c:v>
                </c:pt>
                <c:pt idx="28">
                  <c:v>Моя</c:v>
                </c:pt>
                <c:pt idx="29">
                  <c:v>Моя</c:v>
                </c:pt>
                <c:pt idx="30">
                  <c:v>Моя</c:v>
                </c:pt>
                <c:pt idx="31">
                  <c:v>Моя</c:v>
                </c:pt>
                <c:pt idx="32">
                  <c:v>Моя</c:v>
                </c:pt>
                <c:pt idx="33">
                  <c:v>Моя</c:v>
                </c:pt>
                <c:pt idx="34">
                  <c:v>Моя</c:v>
                </c:pt>
                <c:pt idx="35">
                  <c:v>Моя</c:v>
                </c:pt>
                <c:pt idx="36">
                  <c:v>Моя</c:v>
                </c:pt>
                <c:pt idx="37">
                  <c:v>Моя</c:v>
                </c:pt>
                <c:pt idx="38">
                  <c:v>Моя</c:v>
                </c:pt>
                <c:pt idx="39">
                  <c:v>Моя</c:v>
                </c:pt>
                <c:pt idx="40">
                  <c:v>Моя</c:v>
                </c:pt>
                <c:pt idx="41">
                  <c:v>Моя</c:v>
                </c:pt>
                <c:pt idx="42">
                  <c:v>Моя</c:v>
                </c:pt>
                <c:pt idx="43">
                  <c:v>Моя</c:v>
                </c:pt>
                <c:pt idx="44">
                  <c:v>Моя</c:v>
                </c:pt>
                <c:pt idx="45">
                  <c:v>Моя</c:v>
                </c:pt>
                <c:pt idx="46">
                  <c:v>Моя</c:v>
                </c:pt>
                <c:pt idx="47">
                  <c:v>Моя</c:v>
                </c:pt>
                <c:pt idx="48">
                  <c:v>Моя</c:v>
                </c:pt>
                <c:pt idx="49">
                  <c:v>Моя</c:v>
                </c:pt>
              </c:strCache>
            </c:strRef>
          </c:cat>
          <c:val>
            <c:numRef>
              <c:f>'9 касса'!$Q$2:$Q$51</c:f>
              <c:numCache>
                <c:formatCode>General</c:formatCode>
                <c:ptCount val="50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BC-42DA-A465-07D2BA111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608256"/>
        <c:axId val="501603992"/>
      </c:lineChart>
      <c:catAx>
        <c:axId val="5016082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01603992"/>
        <c:crosses val="autoZero"/>
        <c:auto val="1"/>
        <c:lblAlgn val="ctr"/>
        <c:lblOffset val="100"/>
        <c:noMultiLvlLbl val="0"/>
      </c:catAx>
      <c:valAx>
        <c:axId val="501603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0160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СООТНОШЕНИЕ ПОБЕД И ПОРАЖЕНИЙ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0844-457E-82EA-774788F132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0844-457E-82EA-774788F132F9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'9 касса'!$W$1:$X$1</c:f>
              <c:strCache>
                <c:ptCount val="2"/>
                <c:pt idx="0">
                  <c:v>Процент побед</c:v>
                </c:pt>
                <c:pt idx="1">
                  <c:v>Процент поражений</c:v>
                </c:pt>
              </c:strCache>
            </c:strRef>
          </c:cat>
          <c:val>
            <c:numRef>
              <c:f>'9 касса'!$W$2:$X$2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44-457E-82EA-774788F132F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ГРАФИК ИСХОДА</a:t>
            </a:r>
            <a:r>
              <a:rPr lang="ru-RU" baseline="0"/>
              <a:t>, ИДЕЯ СТАВКИ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2393158495556442E-2"/>
          <c:y val="6.89902772868351E-2"/>
          <c:w val="0.89449998549027598"/>
          <c:h val="0.8110946539896231"/>
        </c:manualLayout>
      </c:layout>
      <c:lineChart>
        <c:grouping val="standard"/>
        <c:varyColors val="0"/>
        <c:ser>
          <c:idx val="0"/>
          <c:order val="0"/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'9 касса'!$E$2:$E$71</c:f>
              <c:strCache>
                <c:ptCount val="70"/>
                <c:pt idx="0">
                  <c:v>Моя</c:v>
                </c:pt>
                <c:pt idx="1">
                  <c:v>Моя</c:v>
                </c:pt>
                <c:pt idx="2">
                  <c:v>Моя</c:v>
                </c:pt>
                <c:pt idx="3">
                  <c:v>Моя</c:v>
                </c:pt>
                <c:pt idx="4">
                  <c:v>Моя</c:v>
                </c:pt>
                <c:pt idx="5">
                  <c:v>Моя</c:v>
                </c:pt>
                <c:pt idx="6">
                  <c:v>Моя</c:v>
                </c:pt>
                <c:pt idx="7">
                  <c:v>Моя</c:v>
                </c:pt>
                <c:pt idx="8">
                  <c:v>Моя</c:v>
                </c:pt>
                <c:pt idx="9">
                  <c:v>Моя</c:v>
                </c:pt>
                <c:pt idx="10">
                  <c:v>Моя</c:v>
                </c:pt>
                <c:pt idx="11">
                  <c:v>Моя</c:v>
                </c:pt>
                <c:pt idx="12">
                  <c:v>Моя</c:v>
                </c:pt>
                <c:pt idx="13">
                  <c:v>Моя</c:v>
                </c:pt>
                <c:pt idx="14">
                  <c:v>Моя</c:v>
                </c:pt>
                <c:pt idx="15">
                  <c:v>Моя</c:v>
                </c:pt>
                <c:pt idx="16">
                  <c:v>Моя</c:v>
                </c:pt>
                <c:pt idx="17">
                  <c:v>Моя</c:v>
                </c:pt>
                <c:pt idx="18">
                  <c:v>Моя</c:v>
                </c:pt>
                <c:pt idx="19">
                  <c:v>Моя</c:v>
                </c:pt>
                <c:pt idx="20">
                  <c:v>Моя</c:v>
                </c:pt>
                <c:pt idx="21">
                  <c:v>Моя</c:v>
                </c:pt>
                <c:pt idx="22">
                  <c:v>Моя</c:v>
                </c:pt>
                <c:pt idx="23">
                  <c:v>Моя</c:v>
                </c:pt>
                <c:pt idx="24">
                  <c:v>Моя</c:v>
                </c:pt>
                <c:pt idx="25">
                  <c:v>Моя</c:v>
                </c:pt>
                <c:pt idx="26">
                  <c:v>Моя</c:v>
                </c:pt>
                <c:pt idx="27">
                  <c:v>Моя</c:v>
                </c:pt>
                <c:pt idx="28">
                  <c:v>Моя</c:v>
                </c:pt>
                <c:pt idx="29">
                  <c:v>Моя</c:v>
                </c:pt>
                <c:pt idx="30">
                  <c:v>Моя</c:v>
                </c:pt>
                <c:pt idx="31">
                  <c:v>Моя</c:v>
                </c:pt>
                <c:pt idx="32">
                  <c:v>Моя</c:v>
                </c:pt>
                <c:pt idx="33">
                  <c:v>Моя</c:v>
                </c:pt>
                <c:pt idx="34">
                  <c:v>Моя</c:v>
                </c:pt>
                <c:pt idx="35">
                  <c:v>Моя</c:v>
                </c:pt>
                <c:pt idx="36">
                  <c:v>Моя</c:v>
                </c:pt>
                <c:pt idx="37">
                  <c:v>Моя</c:v>
                </c:pt>
                <c:pt idx="38">
                  <c:v>Моя</c:v>
                </c:pt>
                <c:pt idx="39">
                  <c:v>Моя</c:v>
                </c:pt>
                <c:pt idx="40">
                  <c:v>Моя</c:v>
                </c:pt>
                <c:pt idx="41">
                  <c:v>Моя</c:v>
                </c:pt>
                <c:pt idx="42">
                  <c:v>Моя</c:v>
                </c:pt>
                <c:pt idx="43">
                  <c:v>Моя</c:v>
                </c:pt>
                <c:pt idx="44">
                  <c:v>Моя</c:v>
                </c:pt>
                <c:pt idx="45">
                  <c:v>Моя</c:v>
                </c:pt>
                <c:pt idx="46">
                  <c:v>Моя</c:v>
                </c:pt>
                <c:pt idx="47">
                  <c:v>Моя</c:v>
                </c:pt>
                <c:pt idx="48">
                  <c:v>Моя</c:v>
                </c:pt>
                <c:pt idx="49">
                  <c:v>Моя</c:v>
                </c:pt>
                <c:pt idx="50">
                  <c:v>Моя</c:v>
                </c:pt>
                <c:pt idx="51">
                  <c:v>Моя</c:v>
                </c:pt>
                <c:pt idx="52">
                  <c:v>Моя</c:v>
                </c:pt>
                <c:pt idx="53">
                  <c:v>Моя</c:v>
                </c:pt>
                <c:pt idx="54">
                  <c:v>Моя</c:v>
                </c:pt>
                <c:pt idx="55">
                  <c:v>Моя</c:v>
                </c:pt>
                <c:pt idx="56">
                  <c:v>Моя</c:v>
                </c:pt>
                <c:pt idx="57">
                  <c:v>Моя</c:v>
                </c:pt>
                <c:pt idx="58">
                  <c:v>Моя</c:v>
                </c:pt>
                <c:pt idx="59">
                  <c:v>Моя</c:v>
                </c:pt>
                <c:pt idx="60">
                  <c:v>Моя</c:v>
                </c:pt>
                <c:pt idx="61">
                  <c:v>Моя</c:v>
                </c:pt>
                <c:pt idx="62">
                  <c:v>Моя</c:v>
                </c:pt>
                <c:pt idx="63">
                  <c:v>Моя</c:v>
                </c:pt>
                <c:pt idx="64">
                  <c:v>Моя</c:v>
                </c:pt>
                <c:pt idx="65">
                  <c:v>Моя</c:v>
                </c:pt>
                <c:pt idx="66">
                  <c:v>Моя</c:v>
                </c:pt>
                <c:pt idx="67">
                  <c:v>Моя</c:v>
                </c:pt>
                <c:pt idx="68">
                  <c:v>Моя</c:v>
                </c:pt>
                <c:pt idx="69">
                  <c:v>Моя</c:v>
                </c:pt>
              </c:strCache>
            </c:strRef>
          </c:cat>
          <c:val>
            <c:numRef>
              <c:f>'9 касса'!$Q$2:$Q$71</c:f>
              <c:numCache>
                <c:formatCode>General</c:formatCode>
                <c:ptCount val="70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-2</c:v>
                </c:pt>
                <c:pt idx="68">
                  <c:v>-2</c:v>
                </c:pt>
                <c:pt idx="69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E8-4AAB-B11D-A7073C608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94792344"/>
        <c:axId val="494789392"/>
      </c:lineChart>
      <c:catAx>
        <c:axId val="494792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89392"/>
        <c:crosses val="autoZero"/>
        <c:auto val="1"/>
        <c:lblAlgn val="ctr"/>
        <c:lblOffset val="100"/>
        <c:noMultiLvlLbl val="0"/>
      </c:catAx>
      <c:valAx>
        <c:axId val="494789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923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ГРАФИК СУММ</a:t>
            </a:r>
            <a:r>
              <a:rPr lang="ru-RU" baseline="0"/>
              <a:t> </a:t>
            </a:r>
            <a:r>
              <a:rPr lang="ru-RU"/>
              <a:t>ВЫИГРЫША/ПРОИГРЫША, ИСХОД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'9 касса'!$J$1</c:f>
              <c:strCache>
                <c:ptCount val="1"/>
                <c:pt idx="0">
                  <c:v>Выигрыш составит</c:v>
                </c:pt>
              </c:strCache>
            </c:strRef>
          </c:tx>
          <c:spPr>
            <a:ln w="34925" cap="rnd">
              <a:solidFill>
                <a:schemeClr val="bg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'9 касса'!$P$2:$P$71</c:f>
              <c:strCache>
                <c:ptCount val="70"/>
                <c:pt idx="0">
                  <c:v>Не ставил</c:v>
                </c:pt>
                <c:pt idx="1">
                  <c:v>Не ставил</c:v>
                </c:pt>
                <c:pt idx="2">
                  <c:v>Не ставил</c:v>
                </c:pt>
                <c:pt idx="3">
                  <c:v>Не ставил</c:v>
                </c:pt>
                <c:pt idx="4">
                  <c:v>Не ставил</c:v>
                </c:pt>
                <c:pt idx="5">
                  <c:v>Не ставил</c:v>
                </c:pt>
                <c:pt idx="6">
                  <c:v>Не ставил</c:v>
                </c:pt>
                <c:pt idx="7">
                  <c:v>Не ставил</c:v>
                </c:pt>
                <c:pt idx="8">
                  <c:v>Не ставил</c:v>
                </c:pt>
                <c:pt idx="9">
                  <c:v>Не ставил</c:v>
                </c:pt>
                <c:pt idx="10">
                  <c:v>Не ставил</c:v>
                </c:pt>
                <c:pt idx="11">
                  <c:v>Не ставил</c:v>
                </c:pt>
                <c:pt idx="12">
                  <c:v>Не ставил</c:v>
                </c:pt>
                <c:pt idx="13">
                  <c:v>Не ставил</c:v>
                </c:pt>
                <c:pt idx="14">
                  <c:v>Не ставил</c:v>
                </c:pt>
                <c:pt idx="15">
                  <c:v>Не ставил</c:v>
                </c:pt>
                <c:pt idx="16">
                  <c:v>Не ставил</c:v>
                </c:pt>
                <c:pt idx="17">
                  <c:v>Не ставил</c:v>
                </c:pt>
                <c:pt idx="18">
                  <c:v>Не ставил</c:v>
                </c:pt>
                <c:pt idx="19">
                  <c:v>Не ставил</c:v>
                </c:pt>
                <c:pt idx="20">
                  <c:v>Не ставил</c:v>
                </c:pt>
                <c:pt idx="21">
                  <c:v>Не ставил</c:v>
                </c:pt>
                <c:pt idx="22">
                  <c:v>Не ставил</c:v>
                </c:pt>
                <c:pt idx="23">
                  <c:v>Не ставил</c:v>
                </c:pt>
                <c:pt idx="24">
                  <c:v>Не ставил</c:v>
                </c:pt>
                <c:pt idx="25">
                  <c:v>Не ставил</c:v>
                </c:pt>
                <c:pt idx="26">
                  <c:v>Не ставил</c:v>
                </c:pt>
                <c:pt idx="27">
                  <c:v>Не ставил</c:v>
                </c:pt>
                <c:pt idx="28">
                  <c:v>Не ставил</c:v>
                </c:pt>
                <c:pt idx="29">
                  <c:v>Не ставил</c:v>
                </c:pt>
                <c:pt idx="30">
                  <c:v>Не ставил</c:v>
                </c:pt>
                <c:pt idx="31">
                  <c:v>Не ставил</c:v>
                </c:pt>
                <c:pt idx="32">
                  <c:v>Не ставил</c:v>
                </c:pt>
                <c:pt idx="33">
                  <c:v>Не ставил</c:v>
                </c:pt>
                <c:pt idx="34">
                  <c:v>Не ставил</c:v>
                </c:pt>
                <c:pt idx="35">
                  <c:v>Не ставил</c:v>
                </c:pt>
                <c:pt idx="36">
                  <c:v>Не ставил</c:v>
                </c:pt>
                <c:pt idx="37">
                  <c:v>Не ставил</c:v>
                </c:pt>
                <c:pt idx="38">
                  <c:v>Не ставил</c:v>
                </c:pt>
                <c:pt idx="39">
                  <c:v>Не ставил</c:v>
                </c:pt>
                <c:pt idx="40">
                  <c:v>Не ставил</c:v>
                </c:pt>
                <c:pt idx="41">
                  <c:v>Не ставил</c:v>
                </c:pt>
                <c:pt idx="42">
                  <c:v>Не ставил</c:v>
                </c:pt>
                <c:pt idx="43">
                  <c:v>Не ставил</c:v>
                </c:pt>
                <c:pt idx="44">
                  <c:v>Не ставил</c:v>
                </c:pt>
                <c:pt idx="45">
                  <c:v>Не ставил</c:v>
                </c:pt>
                <c:pt idx="46">
                  <c:v>Не ставил</c:v>
                </c:pt>
                <c:pt idx="47">
                  <c:v>Не ставил</c:v>
                </c:pt>
                <c:pt idx="48">
                  <c:v>Не ставил</c:v>
                </c:pt>
                <c:pt idx="49">
                  <c:v>Не ставил</c:v>
                </c:pt>
                <c:pt idx="50">
                  <c:v>Не ставил</c:v>
                </c:pt>
                <c:pt idx="51">
                  <c:v>Не ставил</c:v>
                </c:pt>
                <c:pt idx="52">
                  <c:v>Не ставил</c:v>
                </c:pt>
                <c:pt idx="53">
                  <c:v>Не ставил</c:v>
                </c:pt>
                <c:pt idx="54">
                  <c:v>Не ставил</c:v>
                </c:pt>
                <c:pt idx="55">
                  <c:v>Не ставил</c:v>
                </c:pt>
                <c:pt idx="56">
                  <c:v>Не ставил</c:v>
                </c:pt>
                <c:pt idx="57">
                  <c:v>Не ставил</c:v>
                </c:pt>
                <c:pt idx="58">
                  <c:v>Не ставил</c:v>
                </c:pt>
                <c:pt idx="59">
                  <c:v>Не ставил</c:v>
                </c:pt>
                <c:pt idx="60">
                  <c:v>Не ставил</c:v>
                </c:pt>
                <c:pt idx="61">
                  <c:v>Не ставил</c:v>
                </c:pt>
                <c:pt idx="62">
                  <c:v>Не ставил</c:v>
                </c:pt>
                <c:pt idx="63">
                  <c:v>Не ставил</c:v>
                </c:pt>
                <c:pt idx="64">
                  <c:v>Не ставил</c:v>
                </c:pt>
                <c:pt idx="65">
                  <c:v>Не ставил</c:v>
                </c:pt>
                <c:pt idx="66">
                  <c:v>Не ставил</c:v>
                </c:pt>
                <c:pt idx="67">
                  <c:v>Не ставил</c:v>
                </c:pt>
                <c:pt idx="68">
                  <c:v>Не ставил</c:v>
                </c:pt>
                <c:pt idx="69">
                  <c:v>Не ставил</c:v>
                </c:pt>
              </c:strCache>
            </c:strRef>
          </c:cat>
          <c:val>
            <c:numRef>
              <c:f>'9 касса'!$J$2:$J$71</c:f>
              <c:numCache>
                <c:formatCode>#\ ##0.00\ "₽"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C6-45F8-AF59-0A2873A5A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792344"/>
        <c:axId val="494789392"/>
      </c:lineChart>
      <c:catAx>
        <c:axId val="494792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rnd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89392"/>
        <c:crosses val="autoZero"/>
        <c:auto val="1"/>
        <c:lblAlgn val="ctr"/>
        <c:lblOffset val="100"/>
        <c:noMultiLvlLbl val="0"/>
      </c:catAx>
      <c:valAx>
        <c:axId val="494789392"/>
        <c:scaling>
          <c:orientation val="minMax"/>
        </c:scaling>
        <c:delete val="0"/>
        <c:axPos val="l"/>
        <c:majorGridlines>
          <c:spPr>
            <a:ln w="9525" cap="rnd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\ ##0.00\ &quot;₽&quot;" sourceLinked="1"/>
        <c:majorTickMark val="none"/>
        <c:minorTickMark val="none"/>
        <c:tickLblPos val="nextTo"/>
        <c:spPr>
          <a:noFill/>
          <a:ln cap="rnd">
            <a:solidFill>
              <a:schemeClr val="lt1">
                <a:lumMod val="9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92344"/>
        <c:crosses val="autoZero"/>
        <c:crossBetween val="between"/>
      </c:valAx>
      <c:dTable>
        <c:showHorzBorder val="0"/>
        <c:showVertBorder val="1"/>
        <c:showOutline val="0"/>
        <c:showKeys val="0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strRef>
              <c:f>'10 касса'!$E$2:$E$51</c:f>
              <c:strCache>
                <c:ptCount val="50"/>
                <c:pt idx="0">
                  <c:v>Моя</c:v>
                </c:pt>
                <c:pt idx="1">
                  <c:v>Моя</c:v>
                </c:pt>
                <c:pt idx="2">
                  <c:v>Моя</c:v>
                </c:pt>
                <c:pt idx="3">
                  <c:v>Моя</c:v>
                </c:pt>
                <c:pt idx="4">
                  <c:v>Моя</c:v>
                </c:pt>
                <c:pt idx="5">
                  <c:v>Моя</c:v>
                </c:pt>
                <c:pt idx="6">
                  <c:v>Моя</c:v>
                </c:pt>
                <c:pt idx="7">
                  <c:v>Моя</c:v>
                </c:pt>
                <c:pt idx="8">
                  <c:v>Моя</c:v>
                </c:pt>
                <c:pt idx="9">
                  <c:v>Моя</c:v>
                </c:pt>
                <c:pt idx="10">
                  <c:v>Моя</c:v>
                </c:pt>
                <c:pt idx="11">
                  <c:v>Моя</c:v>
                </c:pt>
                <c:pt idx="12">
                  <c:v>Моя</c:v>
                </c:pt>
                <c:pt idx="13">
                  <c:v>Моя</c:v>
                </c:pt>
                <c:pt idx="14">
                  <c:v>Моя</c:v>
                </c:pt>
                <c:pt idx="15">
                  <c:v>Моя</c:v>
                </c:pt>
                <c:pt idx="16">
                  <c:v>Моя</c:v>
                </c:pt>
                <c:pt idx="17">
                  <c:v>Моя</c:v>
                </c:pt>
                <c:pt idx="18">
                  <c:v>Моя</c:v>
                </c:pt>
                <c:pt idx="19">
                  <c:v>Моя</c:v>
                </c:pt>
                <c:pt idx="20">
                  <c:v>Моя</c:v>
                </c:pt>
                <c:pt idx="21">
                  <c:v>Моя</c:v>
                </c:pt>
                <c:pt idx="22">
                  <c:v>Моя</c:v>
                </c:pt>
                <c:pt idx="23">
                  <c:v>Моя</c:v>
                </c:pt>
                <c:pt idx="24">
                  <c:v>Моя</c:v>
                </c:pt>
                <c:pt idx="25">
                  <c:v>Моя</c:v>
                </c:pt>
                <c:pt idx="26">
                  <c:v>Моя</c:v>
                </c:pt>
                <c:pt idx="27">
                  <c:v>Моя</c:v>
                </c:pt>
                <c:pt idx="28">
                  <c:v>Моя</c:v>
                </c:pt>
                <c:pt idx="29">
                  <c:v>Моя</c:v>
                </c:pt>
                <c:pt idx="30">
                  <c:v>Моя</c:v>
                </c:pt>
                <c:pt idx="31">
                  <c:v>Моя</c:v>
                </c:pt>
                <c:pt idx="32">
                  <c:v>Моя</c:v>
                </c:pt>
                <c:pt idx="33">
                  <c:v>Моя</c:v>
                </c:pt>
                <c:pt idx="34">
                  <c:v>Моя</c:v>
                </c:pt>
                <c:pt idx="35">
                  <c:v>Моя</c:v>
                </c:pt>
                <c:pt idx="36">
                  <c:v>Моя</c:v>
                </c:pt>
                <c:pt idx="37">
                  <c:v>Моя</c:v>
                </c:pt>
                <c:pt idx="38">
                  <c:v>Моя</c:v>
                </c:pt>
                <c:pt idx="39">
                  <c:v>Моя</c:v>
                </c:pt>
                <c:pt idx="40">
                  <c:v>Моя</c:v>
                </c:pt>
                <c:pt idx="41">
                  <c:v>Моя</c:v>
                </c:pt>
                <c:pt idx="42">
                  <c:v>Моя</c:v>
                </c:pt>
                <c:pt idx="43">
                  <c:v>Моя</c:v>
                </c:pt>
                <c:pt idx="44">
                  <c:v>Моя</c:v>
                </c:pt>
                <c:pt idx="45">
                  <c:v>Моя</c:v>
                </c:pt>
                <c:pt idx="46">
                  <c:v>Моя</c:v>
                </c:pt>
                <c:pt idx="47">
                  <c:v>Моя</c:v>
                </c:pt>
                <c:pt idx="48">
                  <c:v>Моя</c:v>
                </c:pt>
                <c:pt idx="49">
                  <c:v>Моя</c:v>
                </c:pt>
              </c:strCache>
            </c:strRef>
          </c:cat>
          <c:val>
            <c:numRef>
              <c:f>'10 касса'!$Q$2:$Q$51</c:f>
              <c:numCache>
                <c:formatCode>General</c:formatCode>
                <c:ptCount val="50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2B-4360-86D7-4B5C10562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608256"/>
        <c:axId val="501603992"/>
      </c:lineChart>
      <c:catAx>
        <c:axId val="5016082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01603992"/>
        <c:crosses val="autoZero"/>
        <c:auto val="1"/>
        <c:lblAlgn val="ctr"/>
        <c:lblOffset val="100"/>
        <c:noMultiLvlLbl val="0"/>
      </c:catAx>
      <c:valAx>
        <c:axId val="501603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0160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СООТНОШЕНИЕ ПОБЕД И ПОРАЖЕНИЙ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1DF6-4595-932E-0C7497BBBC9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1DF6-4595-932E-0C7497BBBC99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'10 касса'!$W$1:$X$1</c:f>
              <c:strCache>
                <c:ptCount val="2"/>
                <c:pt idx="0">
                  <c:v>Процент побед</c:v>
                </c:pt>
                <c:pt idx="1">
                  <c:v>Процент поражений</c:v>
                </c:pt>
              </c:strCache>
            </c:strRef>
          </c:cat>
          <c:val>
            <c:numRef>
              <c:f>'10 касса'!$W$2:$X$2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F6-4595-932E-0C7497BBBC9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ГРАФИК ИСХОДА</a:t>
            </a:r>
            <a:r>
              <a:rPr lang="ru-RU" baseline="0"/>
              <a:t>, ИДЕЯ СТАВКИ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2393158495556442E-2"/>
          <c:y val="6.89902772868351E-2"/>
          <c:w val="0.89449998549027598"/>
          <c:h val="0.8110946539896231"/>
        </c:manualLayout>
      </c:layout>
      <c:lineChart>
        <c:grouping val="standard"/>
        <c:varyColors val="0"/>
        <c:ser>
          <c:idx val="0"/>
          <c:order val="0"/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'10 касса'!$E$2:$E$71</c:f>
              <c:strCache>
                <c:ptCount val="70"/>
                <c:pt idx="0">
                  <c:v>Моя</c:v>
                </c:pt>
                <c:pt idx="1">
                  <c:v>Моя</c:v>
                </c:pt>
                <c:pt idx="2">
                  <c:v>Моя</c:v>
                </c:pt>
                <c:pt idx="3">
                  <c:v>Моя</c:v>
                </c:pt>
                <c:pt idx="4">
                  <c:v>Моя</c:v>
                </c:pt>
                <c:pt idx="5">
                  <c:v>Моя</c:v>
                </c:pt>
                <c:pt idx="6">
                  <c:v>Моя</c:v>
                </c:pt>
                <c:pt idx="7">
                  <c:v>Моя</c:v>
                </c:pt>
                <c:pt idx="8">
                  <c:v>Моя</c:v>
                </c:pt>
                <c:pt idx="9">
                  <c:v>Моя</c:v>
                </c:pt>
                <c:pt idx="10">
                  <c:v>Моя</c:v>
                </c:pt>
                <c:pt idx="11">
                  <c:v>Моя</c:v>
                </c:pt>
                <c:pt idx="12">
                  <c:v>Моя</c:v>
                </c:pt>
                <c:pt idx="13">
                  <c:v>Моя</c:v>
                </c:pt>
                <c:pt idx="14">
                  <c:v>Моя</c:v>
                </c:pt>
                <c:pt idx="15">
                  <c:v>Моя</c:v>
                </c:pt>
                <c:pt idx="16">
                  <c:v>Моя</c:v>
                </c:pt>
                <c:pt idx="17">
                  <c:v>Моя</c:v>
                </c:pt>
                <c:pt idx="18">
                  <c:v>Моя</c:v>
                </c:pt>
                <c:pt idx="19">
                  <c:v>Моя</c:v>
                </c:pt>
                <c:pt idx="20">
                  <c:v>Моя</c:v>
                </c:pt>
                <c:pt idx="21">
                  <c:v>Моя</c:v>
                </c:pt>
                <c:pt idx="22">
                  <c:v>Моя</c:v>
                </c:pt>
                <c:pt idx="23">
                  <c:v>Моя</c:v>
                </c:pt>
                <c:pt idx="24">
                  <c:v>Моя</c:v>
                </c:pt>
                <c:pt idx="25">
                  <c:v>Моя</c:v>
                </c:pt>
                <c:pt idx="26">
                  <c:v>Моя</c:v>
                </c:pt>
                <c:pt idx="27">
                  <c:v>Моя</c:v>
                </c:pt>
                <c:pt idx="28">
                  <c:v>Моя</c:v>
                </c:pt>
                <c:pt idx="29">
                  <c:v>Моя</c:v>
                </c:pt>
                <c:pt idx="30">
                  <c:v>Моя</c:v>
                </c:pt>
                <c:pt idx="31">
                  <c:v>Моя</c:v>
                </c:pt>
                <c:pt idx="32">
                  <c:v>Моя</c:v>
                </c:pt>
                <c:pt idx="33">
                  <c:v>Моя</c:v>
                </c:pt>
                <c:pt idx="34">
                  <c:v>Моя</c:v>
                </c:pt>
                <c:pt idx="35">
                  <c:v>Моя</c:v>
                </c:pt>
                <c:pt idx="36">
                  <c:v>Моя</c:v>
                </c:pt>
                <c:pt idx="37">
                  <c:v>Моя</c:v>
                </c:pt>
                <c:pt idx="38">
                  <c:v>Моя</c:v>
                </c:pt>
                <c:pt idx="39">
                  <c:v>Моя</c:v>
                </c:pt>
                <c:pt idx="40">
                  <c:v>Моя</c:v>
                </c:pt>
                <c:pt idx="41">
                  <c:v>Моя</c:v>
                </c:pt>
                <c:pt idx="42">
                  <c:v>Моя</c:v>
                </c:pt>
                <c:pt idx="43">
                  <c:v>Моя</c:v>
                </c:pt>
                <c:pt idx="44">
                  <c:v>Моя</c:v>
                </c:pt>
                <c:pt idx="45">
                  <c:v>Моя</c:v>
                </c:pt>
                <c:pt idx="46">
                  <c:v>Моя</c:v>
                </c:pt>
                <c:pt idx="47">
                  <c:v>Моя</c:v>
                </c:pt>
                <c:pt idx="48">
                  <c:v>Моя</c:v>
                </c:pt>
                <c:pt idx="49">
                  <c:v>Моя</c:v>
                </c:pt>
                <c:pt idx="50">
                  <c:v>Моя</c:v>
                </c:pt>
                <c:pt idx="51">
                  <c:v>Моя</c:v>
                </c:pt>
                <c:pt idx="52">
                  <c:v>Моя</c:v>
                </c:pt>
                <c:pt idx="53">
                  <c:v>Моя</c:v>
                </c:pt>
                <c:pt idx="54">
                  <c:v>Моя</c:v>
                </c:pt>
                <c:pt idx="55">
                  <c:v>Моя</c:v>
                </c:pt>
                <c:pt idx="56">
                  <c:v>Моя</c:v>
                </c:pt>
                <c:pt idx="57">
                  <c:v>Моя</c:v>
                </c:pt>
                <c:pt idx="58">
                  <c:v>Моя</c:v>
                </c:pt>
                <c:pt idx="59">
                  <c:v>Моя</c:v>
                </c:pt>
                <c:pt idx="60">
                  <c:v>Моя</c:v>
                </c:pt>
                <c:pt idx="61">
                  <c:v>Моя</c:v>
                </c:pt>
                <c:pt idx="62">
                  <c:v>Моя</c:v>
                </c:pt>
                <c:pt idx="63">
                  <c:v>Моя</c:v>
                </c:pt>
                <c:pt idx="64">
                  <c:v>Моя</c:v>
                </c:pt>
                <c:pt idx="65">
                  <c:v>Моя</c:v>
                </c:pt>
                <c:pt idx="66">
                  <c:v>Моя</c:v>
                </c:pt>
                <c:pt idx="67">
                  <c:v>Моя</c:v>
                </c:pt>
                <c:pt idx="68">
                  <c:v>Моя</c:v>
                </c:pt>
                <c:pt idx="69">
                  <c:v>Моя</c:v>
                </c:pt>
              </c:strCache>
            </c:strRef>
          </c:cat>
          <c:val>
            <c:numRef>
              <c:f>'10 касса'!$Q$2:$Q$71</c:f>
              <c:numCache>
                <c:formatCode>General</c:formatCode>
                <c:ptCount val="70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-2</c:v>
                </c:pt>
                <c:pt idx="68">
                  <c:v>-2</c:v>
                </c:pt>
                <c:pt idx="69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7-46EB-9036-48D5CFBC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94792344"/>
        <c:axId val="494789392"/>
      </c:lineChart>
      <c:catAx>
        <c:axId val="494792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89392"/>
        <c:crosses val="autoZero"/>
        <c:auto val="1"/>
        <c:lblAlgn val="ctr"/>
        <c:lblOffset val="100"/>
        <c:noMultiLvlLbl val="0"/>
      </c:catAx>
      <c:valAx>
        <c:axId val="494789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923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ГРАФИК СУММ</a:t>
            </a:r>
            <a:r>
              <a:rPr lang="ru-RU" baseline="0"/>
              <a:t> </a:t>
            </a:r>
            <a:r>
              <a:rPr lang="ru-RU"/>
              <a:t>ВЫИГРЫША/ПРОИГРЫША, ИСХОД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'10 касса'!$J$1</c:f>
              <c:strCache>
                <c:ptCount val="1"/>
                <c:pt idx="0">
                  <c:v>Выигрыш составит</c:v>
                </c:pt>
              </c:strCache>
            </c:strRef>
          </c:tx>
          <c:spPr>
            <a:ln w="34925" cap="rnd">
              <a:solidFill>
                <a:schemeClr val="bg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'10 касса'!$P$2:$P$71</c:f>
              <c:strCache>
                <c:ptCount val="70"/>
                <c:pt idx="0">
                  <c:v>Не ставил</c:v>
                </c:pt>
                <c:pt idx="1">
                  <c:v>Не ставил</c:v>
                </c:pt>
                <c:pt idx="2">
                  <c:v>Не ставил</c:v>
                </c:pt>
                <c:pt idx="3">
                  <c:v>Не ставил</c:v>
                </c:pt>
                <c:pt idx="4">
                  <c:v>Не ставил</c:v>
                </c:pt>
                <c:pt idx="5">
                  <c:v>Не ставил</c:v>
                </c:pt>
                <c:pt idx="6">
                  <c:v>Не ставил</c:v>
                </c:pt>
                <c:pt idx="7">
                  <c:v>Не ставил</c:v>
                </c:pt>
                <c:pt idx="8">
                  <c:v>Не ставил</c:v>
                </c:pt>
                <c:pt idx="9">
                  <c:v>Не ставил</c:v>
                </c:pt>
                <c:pt idx="10">
                  <c:v>Не ставил</c:v>
                </c:pt>
                <c:pt idx="11">
                  <c:v>Не ставил</c:v>
                </c:pt>
                <c:pt idx="12">
                  <c:v>Не ставил</c:v>
                </c:pt>
                <c:pt idx="13">
                  <c:v>Не ставил</c:v>
                </c:pt>
                <c:pt idx="14">
                  <c:v>Не ставил</c:v>
                </c:pt>
                <c:pt idx="15">
                  <c:v>Не ставил</c:v>
                </c:pt>
                <c:pt idx="16">
                  <c:v>Не ставил</c:v>
                </c:pt>
                <c:pt idx="17">
                  <c:v>Не ставил</c:v>
                </c:pt>
                <c:pt idx="18">
                  <c:v>Не ставил</c:v>
                </c:pt>
                <c:pt idx="19">
                  <c:v>Не ставил</c:v>
                </c:pt>
                <c:pt idx="20">
                  <c:v>Не ставил</c:v>
                </c:pt>
                <c:pt idx="21">
                  <c:v>Не ставил</c:v>
                </c:pt>
                <c:pt idx="22">
                  <c:v>Не ставил</c:v>
                </c:pt>
                <c:pt idx="23">
                  <c:v>Не ставил</c:v>
                </c:pt>
                <c:pt idx="24">
                  <c:v>Не ставил</c:v>
                </c:pt>
                <c:pt idx="25">
                  <c:v>Не ставил</c:v>
                </c:pt>
                <c:pt idx="26">
                  <c:v>Не ставил</c:v>
                </c:pt>
                <c:pt idx="27">
                  <c:v>Не ставил</c:v>
                </c:pt>
                <c:pt idx="28">
                  <c:v>Не ставил</c:v>
                </c:pt>
                <c:pt idx="29">
                  <c:v>Не ставил</c:v>
                </c:pt>
                <c:pt idx="30">
                  <c:v>Не ставил</c:v>
                </c:pt>
                <c:pt idx="31">
                  <c:v>Не ставил</c:v>
                </c:pt>
                <c:pt idx="32">
                  <c:v>Не ставил</c:v>
                </c:pt>
                <c:pt idx="33">
                  <c:v>Не ставил</c:v>
                </c:pt>
                <c:pt idx="34">
                  <c:v>Не ставил</c:v>
                </c:pt>
                <c:pt idx="35">
                  <c:v>Не ставил</c:v>
                </c:pt>
                <c:pt idx="36">
                  <c:v>Не ставил</c:v>
                </c:pt>
                <c:pt idx="37">
                  <c:v>Не ставил</c:v>
                </c:pt>
                <c:pt idx="38">
                  <c:v>Не ставил</c:v>
                </c:pt>
                <c:pt idx="39">
                  <c:v>Не ставил</c:v>
                </c:pt>
                <c:pt idx="40">
                  <c:v>Не ставил</c:v>
                </c:pt>
                <c:pt idx="41">
                  <c:v>Не ставил</c:v>
                </c:pt>
                <c:pt idx="42">
                  <c:v>Не ставил</c:v>
                </c:pt>
                <c:pt idx="43">
                  <c:v>Не ставил</c:v>
                </c:pt>
                <c:pt idx="44">
                  <c:v>Не ставил</c:v>
                </c:pt>
                <c:pt idx="45">
                  <c:v>Не ставил</c:v>
                </c:pt>
                <c:pt idx="46">
                  <c:v>Не ставил</c:v>
                </c:pt>
                <c:pt idx="47">
                  <c:v>Не ставил</c:v>
                </c:pt>
                <c:pt idx="48">
                  <c:v>Не ставил</c:v>
                </c:pt>
                <c:pt idx="49">
                  <c:v>Не ставил</c:v>
                </c:pt>
                <c:pt idx="50">
                  <c:v>Не ставил</c:v>
                </c:pt>
                <c:pt idx="51">
                  <c:v>Не ставил</c:v>
                </c:pt>
                <c:pt idx="52">
                  <c:v>Не ставил</c:v>
                </c:pt>
                <c:pt idx="53">
                  <c:v>Не ставил</c:v>
                </c:pt>
                <c:pt idx="54">
                  <c:v>Не ставил</c:v>
                </c:pt>
                <c:pt idx="55">
                  <c:v>Не ставил</c:v>
                </c:pt>
                <c:pt idx="56">
                  <c:v>Не ставил</c:v>
                </c:pt>
                <c:pt idx="57">
                  <c:v>Не ставил</c:v>
                </c:pt>
                <c:pt idx="58">
                  <c:v>Не ставил</c:v>
                </c:pt>
                <c:pt idx="59">
                  <c:v>Не ставил</c:v>
                </c:pt>
                <c:pt idx="60">
                  <c:v>Не ставил</c:v>
                </c:pt>
                <c:pt idx="61">
                  <c:v>Не ставил</c:v>
                </c:pt>
                <c:pt idx="62">
                  <c:v>Не ставил</c:v>
                </c:pt>
                <c:pt idx="63">
                  <c:v>Не ставил</c:v>
                </c:pt>
                <c:pt idx="64">
                  <c:v>Не ставил</c:v>
                </c:pt>
                <c:pt idx="65">
                  <c:v>Не ставил</c:v>
                </c:pt>
                <c:pt idx="66">
                  <c:v>Не ставил</c:v>
                </c:pt>
                <c:pt idx="67">
                  <c:v>Не ставил</c:v>
                </c:pt>
                <c:pt idx="68">
                  <c:v>Не ставил</c:v>
                </c:pt>
                <c:pt idx="69">
                  <c:v>Не ставил</c:v>
                </c:pt>
              </c:strCache>
            </c:strRef>
          </c:cat>
          <c:val>
            <c:numRef>
              <c:f>'10 касса'!$J$2:$J$71</c:f>
              <c:numCache>
                <c:formatCode>#\ ##0.00\ "₽"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85-4E27-B9AB-A72081737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792344"/>
        <c:axId val="494789392"/>
      </c:lineChart>
      <c:catAx>
        <c:axId val="494792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rnd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89392"/>
        <c:crosses val="autoZero"/>
        <c:auto val="1"/>
        <c:lblAlgn val="ctr"/>
        <c:lblOffset val="100"/>
        <c:noMultiLvlLbl val="0"/>
      </c:catAx>
      <c:valAx>
        <c:axId val="494789392"/>
        <c:scaling>
          <c:orientation val="minMax"/>
        </c:scaling>
        <c:delete val="0"/>
        <c:axPos val="l"/>
        <c:majorGridlines>
          <c:spPr>
            <a:ln w="9525" cap="rnd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\ ##0.00\ &quot;₽&quot;" sourceLinked="1"/>
        <c:majorTickMark val="none"/>
        <c:minorTickMark val="none"/>
        <c:tickLblPos val="nextTo"/>
        <c:spPr>
          <a:noFill/>
          <a:ln cap="rnd">
            <a:solidFill>
              <a:schemeClr val="lt1">
                <a:lumMod val="9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792344"/>
        <c:crosses val="autoZero"/>
        <c:crossBetween val="between"/>
      </c:valAx>
      <c:dTable>
        <c:showHorzBorder val="0"/>
        <c:showVertBorder val="1"/>
        <c:showOutline val="0"/>
        <c:showKeys val="0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0</xdr:colOff>
      <xdr:row>5</xdr:row>
      <xdr:rowOff>95250</xdr:rowOff>
    </xdr:from>
    <xdr:to>
      <xdr:col>39</xdr:col>
      <xdr:colOff>267721</xdr:colOff>
      <xdr:row>22</xdr:row>
      <xdr:rowOff>163285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13604</xdr:colOff>
      <xdr:row>5</xdr:row>
      <xdr:rowOff>95251</xdr:rowOff>
    </xdr:from>
    <xdr:to>
      <xdr:col>28</xdr:col>
      <xdr:colOff>340178</xdr:colOff>
      <xdr:row>22</xdr:row>
      <xdr:rowOff>149679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707570</xdr:colOff>
      <xdr:row>48</xdr:row>
      <xdr:rowOff>54428</xdr:rowOff>
    </xdr:from>
    <xdr:to>
      <xdr:col>35</xdr:col>
      <xdr:colOff>585106</xdr:colOff>
      <xdr:row>70</xdr:row>
      <xdr:rowOff>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13607</xdr:colOff>
      <xdr:row>24</xdr:row>
      <xdr:rowOff>40821</xdr:rowOff>
    </xdr:from>
    <xdr:to>
      <xdr:col>36</xdr:col>
      <xdr:colOff>0</xdr:colOff>
      <xdr:row>46</xdr:row>
      <xdr:rowOff>95250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0</xdr:colOff>
      <xdr:row>5</xdr:row>
      <xdr:rowOff>95250</xdr:rowOff>
    </xdr:from>
    <xdr:to>
      <xdr:col>39</xdr:col>
      <xdr:colOff>267721</xdr:colOff>
      <xdr:row>22</xdr:row>
      <xdr:rowOff>163285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13604</xdr:colOff>
      <xdr:row>5</xdr:row>
      <xdr:rowOff>95251</xdr:rowOff>
    </xdr:from>
    <xdr:to>
      <xdr:col>28</xdr:col>
      <xdr:colOff>340178</xdr:colOff>
      <xdr:row>22</xdr:row>
      <xdr:rowOff>149679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707570</xdr:colOff>
      <xdr:row>48</xdr:row>
      <xdr:rowOff>54428</xdr:rowOff>
    </xdr:from>
    <xdr:to>
      <xdr:col>35</xdr:col>
      <xdr:colOff>585106</xdr:colOff>
      <xdr:row>70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13607</xdr:colOff>
      <xdr:row>24</xdr:row>
      <xdr:rowOff>40821</xdr:rowOff>
    </xdr:from>
    <xdr:to>
      <xdr:col>36</xdr:col>
      <xdr:colOff>0</xdr:colOff>
      <xdr:row>46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0</xdr:colOff>
      <xdr:row>5</xdr:row>
      <xdr:rowOff>95250</xdr:rowOff>
    </xdr:from>
    <xdr:to>
      <xdr:col>39</xdr:col>
      <xdr:colOff>267721</xdr:colOff>
      <xdr:row>22</xdr:row>
      <xdr:rowOff>163285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13604</xdr:colOff>
      <xdr:row>5</xdr:row>
      <xdr:rowOff>95251</xdr:rowOff>
    </xdr:from>
    <xdr:to>
      <xdr:col>28</xdr:col>
      <xdr:colOff>340178</xdr:colOff>
      <xdr:row>22</xdr:row>
      <xdr:rowOff>149679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707570</xdr:colOff>
      <xdr:row>48</xdr:row>
      <xdr:rowOff>54428</xdr:rowOff>
    </xdr:from>
    <xdr:to>
      <xdr:col>35</xdr:col>
      <xdr:colOff>585106</xdr:colOff>
      <xdr:row>70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13607</xdr:colOff>
      <xdr:row>24</xdr:row>
      <xdr:rowOff>40821</xdr:rowOff>
    </xdr:from>
    <xdr:to>
      <xdr:col>36</xdr:col>
      <xdr:colOff>0</xdr:colOff>
      <xdr:row>46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0</xdr:colOff>
      <xdr:row>5</xdr:row>
      <xdr:rowOff>95250</xdr:rowOff>
    </xdr:from>
    <xdr:to>
      <xdr:col>39</xdr:col>
      <xdr:colOff>267721</xdr:colOff>
      <xdr:row>22</xdr:row>
      <xdr:rowOff>163285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13604</xdr:colOff>
      <xdr:row>5</xdr:row>
      <xdr:rowOff>95251</xdr:rowOff>
    </xdr:from>
    <xdr:to>
      <xdr:col>28</xdr:col>
      <xdr:colOff>340178</xdr:colOff>
      <xdr:row>22</xdr:row>
      <xdr:rowOff>149679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707570</xdr:colOff>
      <xdr:row>48</xdr:row>
      <xdr:rowOff>54428</xdr:rowOff>
    </xdr:from>
    <xdr:to>
      <xdr:col>35</xdr:col>
      <xdr:colOff>585106</xdr:colOff>
      <xdr:row>70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13607</xdr:colOff>
      <xdr:row>24</xdr:row>
      <xdr:rowOff>40821</xdr:rowOff>
    </xdr:from>
    <xdr:to>
      <xdr:col>36</xdr:col>
      <xdr:colOff>0</xdr:colOff>
      <xdr:row>46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0</xdr:colOff>
      <xdr:row>5</xdr:row>
      <xdr:rowOff>95250</xdr:rowOff>
    </xdr:from>
    <xdr:to>
      <xdr:col>39</xdr:col>
      <xdr:colOff>267721</xdr:colOff>
      <xdr:row>22</xdr:row>
      <xdr:rowOff>163285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13604</xdr:colOff>
      <xdr:row>5</xdr:row>
      <xdr:rowOff>95251</xdr:rowOff>
    </xdr:from>
    <xdr:to>
      <xdr:col>28</xdr:col>
      <xdr:colOff>340178</xdr:colOff>
      <xdr:row>22</xdr:row>
      <xdr:rowOff>149679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707570</xdr:colOff>
      <xdr:row>48</xdr:row>
      <xdr:rowOff>54428</xdr:rowOff>
    </xdr:from>
    <xdr:to>
      <xdr:col>35</xdr:col>
      <xdr:colOff>585106</xdr:colOff>
      <xdr:row>70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13607</xdr:colOff>
      <xdr:row>24</xdr:row>
      <xdr:rowOff>40821</xdr:rowOff>
    </xdr:from>
    <xdr:to>
      <xdr:col>36</xdr:col>
      <xdr:colOff>0</xdr:colOff>
      <xdr:row>46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0</xdr:colOff>
      <xdr:row>5</xdr:row>
      <xdr:rowOff>95250</xdr:rowOff>
    </xdr:from>
    <xdr:to>
      <xdr:col>39</xdr:col>
      <xdr:colOff>267721</xdr:colOff>
      <xdr:row>22</xdr:row>
      <xdr:rowOff>163285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13604</xdr:colOff>
      <xdr:row>5</xdr:row>
      <xdr:rowOff>95251</xdr:rowOff>
    </xdr:from>
    <xdr:to>
      <xdr:col>28</xdr:col>
      <xdr:colOff>340178</xdr:colOff>
      <xdr:row>22</xdr:row>
      <xdr:rowOff>149679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707570</xdr:colOff>
      <xdr:row>48</xdr:row>
      <xdr:rowOff>54428</xdr:rowOff>
    </xdr:from>
    <xdr:to>
      <xdr:col>35</xdr:col>
      <xdr:colOff>585106</xdr:colOff>
      <xdr:row>70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13607</xdr:colOff>
      <xdr:row>24</xdr:row>
      <xdr:rowOff>40821</xdr:rowOff>
    </xdr:from>
    <xdr:to>
      <xdr:col>36</xdr:col>
      <xdr:colOff>0</xdr:colOff>
      <xdr:row>46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0</xdr:colOff>
      <xdr:row>5</xdr:row>
      <xdr:rowOff>95250</xdr:rowOff>
    </xdr:from>
    <xdr:to>
      <xdr:col>39</xdr:col>
      <xdr:colOff>267721</xdr:colOff>
      <xdr:row>22</xdr:row>
      <xdr:rowOff>163285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13604</xdr:colOff>
      <xdr:row>5</xdr:row>
      <xdr:rowOff>95251</xdr:rowOff>
    </xdr:from>
    <xdr:to>
      <xdr:col>28</xdr:col>
      <xdr:colOff>340178</xdr:colOff>
      <xdr:row>22</xdr:row>
      <xdr:rowOff>149679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707570</xdr:colOff>
      <xdr:row>48</xdr:row>
      <xdr:rowOff>54428</xdr:rowOff>
    </xdr:from>
    <xdr:to>
      <xdr:col>35</xdr:col>
      <xdr:colOff>585106</xdr:colOff>
      <xdr:row>70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13607</xdr:colOff>
      <xdr:row>24</xdr:row>
      <xdr:rowOff>40821</xdr:rowOff>
    </xdr:from>
    <xdr:to>
      <xdr:col>36</xdr:col>
      <xdr:colOff>0</xdr:colOff>
      <xdr:row>46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0</xdr:colOff>
      <xdr:row>5</xdr:row>
      <xdr:rowOff>95250</xdr:rowOff>
    </xdr:from>
    <xdr:to>
      <xdr:col>39</xdr:col>
      <xdr:colOff>267721</xdr:colOff>
      <xdr:row>22</xdr:row>
      <xdr:rowOff>163285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13604</xdr:colOff>
      <xdr:row>5</xdr:row>
      <xdr:rowOff>95251</xdr:rowOff>
    </xdr:from>
    <xdr:to>
      <xdr:col>28</xdr:col>
      <xdr:colOff>340178</xdr:colOff>
      <xdr:row>22</xdr:row>
      <xdr:rowOff>149679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707570</xdr:colOff>
      <xdr:row>48</xdr:row>
      <xdr:rowOff>54428</xdr:rowOff>
    </xdr:from>
    <xdr:to>
      <xdr:col>35</xdr:col>
      <xdr:colOff>585106</xdr:colOff>
      <xdr:row>70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13607</xdr:colOff>
      <xdr:row>24</xdr:row>
      <xdr:rowOff>40821</xdr:rowOff>
    </xdr:from>
    <xdr:to>
      <xdr:col>36</xdr:col>
      <xdr:colOff>0</xdr:colOff>
      <xdr:row>46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0</xdr:colOff>
      <xdr:row>5</xdr:row>
      <xdr:rowOff>95250</xdr:rowOff>
    </xdr:from>
    <xdr:to>
      <xdr:col>39</xdr:col>
      <xdr:colOff>267721</xdr:colOff>
      <xdr:row>22</xdr:row>
      <xdr:rowOff>163285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13604</xdr:colOff>
      <xdr:row>5</xdr:row>
      <xdr:rowOff>95251</xdr:rowOff>
    </xdr:from>
    <xdr:to>
      <xdr:col>28</xdr:col>
      <xdr:colOff>340178</xdr:colOff>
      <xdr:row>22</xdr:row>
      <xdr:rowOff>149679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707570</xdr:colOff>
      <xdr:row>48</xdr:row>
      <xdr:rowOff>54428</xdr:rowOff>
    </xdr:from>
    <xdr:to>
      <xdr:col>35</xdr:col>
      <xdr:colOff>585106</xdr:colOff>
      <xdr:row>70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13607</xdr:colOff>
      <xdr:row>24</xdr:row>
      <xdr:rowOff>40821</xdr:rowOff>
    </xdr:from>
    <xdr:to>
      <xdr:col>36</xdr:col>
      <xdr:colOff>0</xdr:colOff>
      <xdr:row>46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0</xdr:colOff>
      <xdr:row>5</xdr:row>
      <xdr:rowOff>95250</xdr:rowOff>
    </xdr:from>
    <xdr:to>
      <xdr:col>39</xdr:col>
      <xdr:colOff>267721</xdr:colOff>
      <xdr:row>22</xdr:row>
      <xdr:rowOff>163285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13604</xdr:colOff>
      <xdr:row>5</xdr:row>
      <xdr:rowOff>95251</xdr:rowOff>
    </xdr:from>
    <xdr:to>
      <xdr:col>28</xdr:col>
      <xdr:colOff>340178</xdr:colOff>
      <xdr:row>22</xdr:row>
      <xdr:rowOff>149679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707570</xdr:colOff>
      <xdr:row>48</xdr:row>
      <xdr:rowOff>54428</xdr:rowOff>
    </xdr:from>
    <xdr:to>
      <xdr:col>35</xdr:col>
      <xdr:colOff>585106</xdr:colOff>
      <xdr:row>70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13607</xdr:colOff>
      <xdr:row>24</xdr:row>
      <xdr:rowOff>40821</xdr:rowOff>
    </xdr:from>
    <xdr:to>
      <xdr:col>36</xdr:col>
      <xdr:colOff>0</xdr:colOff>
      <xdr:row>46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53A3C360-4B7E-41B8-9943-93D304B9FEEB}" autoFormatId="16" applyNumberFormats="0" applyBorderFormats="0" applyFontFormats="0" applyPatternFormats="0" applyAlignmentFormats="0" applyWidthHeightFormats="0">
  <queryTableRefresh nextId="6">
    <queryTableFields count="5">
      <queryTableField id="1" name="№" tableColumnId="1"/>
      <queryTableField id="2" name="Команда" tableColumnId="2"/>
      <queryTableField id="3" name="И" tableColumnId="3"/>
      <queryTableField id="4" name="О" tableColumnId="4"/>
      <queryTableField id="5" name="Форма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4930EA3-58B0-4121-A061-9C6FC2C4011B}" name="Table_0__3" displayName="Table_0__3" ref="A1:E17" tableType="queryTable" totalsRowShown="0">
  <autoFilter ref="A1:E17" xr:uid="{C4930EA3-58B0-4121-A061-9C6FC2C4011B}"/>
  <tableColumns count="5">
    <tableColumn id="1" xr3:uid="{386A4E4A-20AF-4E32-ADBD-715C140C44EE}" uniqueName="1" name="№" queryTableFieldId="1" dataDxfId="2"/>
    <tableColumn id="2" xr3:uid="{6FD7095D-CD11-4015-BBB6-1795CDD78642}" uniqueName="2" name="Команда" queryTableFieldId="2" dataDxfId="1"/>
    <tableColumn id="3" xr3:uid="{A1C52CB7-D1AE-4593-B435-9B54989F321D}" uniqueName="3" name="И" queryTableFieldId="3"/>
    <tableColumn id="4" xr3:uid="{49322A10-C392-4A0D-9447-0C377565210A}" uniqueName="4" name="О" queryTableFieldId="4"/>
    <tableColumn id="5" xr3:uid="{4CAA67F6-514B-4CE1-8CDA-751A9F2EDD17}" uniqueName="5" name="Форма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X201"/>
  <sheetViews>
    <sheetView tabSelected="1" zoomScale="50" zoomScaleNormal="50" workbookViewId="0">
      <selection activeCell="A2" sqref="A2"/>
    </sheetView>
  </sheetViews>
  <sheetFormatPr defaultRowHeight="14.4" x14ac:dyDescent="0.3"/>
  <cols>
    <col min="1" max="1" width="12.109375" customWidth="1"/>
    <col min="2" max="2" width="12.6640625" customWidth="1"/>
    <col min="4" max="4" width="31.77734375" customWidth="1"/>
    <col min="5" max="5" width="18.6640625" style="20" customWidth="1"/>
    <col min="6" max="6" width="14.109375" style="17" customWidth="1"/>
    <col min="7" max="7" width="14.6640625" style="17" customWidth="1"/>
    <col min="8" max="8" width="14.88671875" style="17" customWidth="1"/>
    <col min="9" max="9" width="18" style="17" customWidth="1"/>
    <col min="10" max="10" width="20.33203125" style="17" customWidth="1"/>
    <col min="11" max="11" width="21.33203125" style="17" customWidth="1"/>
    <col min="12" max="12" width="23.109375" style="74" customWidth="1"/>
    <col min="13" max="13" width="20.5546875" style="79" customWidth="1"/>
    <col min="14" max="14" width="13" customWidth="1"/>
    <col min="15" max="15" width="29.33203125" style="13" customWidth="1"/>
    <col min="16" max="16" width="12.5546875" style="20" customWidth="1"/>
    <col min="17" max="17" width="19.109375" style="17" customWidth="1"/>
    <col min="18" max="18" width="29.33203125" style="32" customWidth="1"/>
    <col min="19" max="19" width="10.5546875" customWidth="1"/>
    <col min="20" max="20" width="9.109375" customWidth="1"/>
    <col min="21" max="21" width="9.44140625" customWidth="1"/>
    <col min="22" max="22" width="10.6640625" customWidth="1"/>
    <col min="23" max="23" width="9.6640625" customWidth="1"/>
    <col min="24" max="24" width="15.33203125" customWidth="1"/>
    <col min="34" max="34" width="15.88671875" customWidth="1"/>
    <col min="35" max="35" width="36.109375" customWidth="1"/>
    <col min="38" max="38" width="13.88671875" customWidth="1"/>
    <col min="39" max="39" width="15.44140625" customWidth="1"/>
    <col min="41" max="41" width="20.21875" customWidth="1"/>
    <col min="42" max="43" width="27.6640625" customWidth="1"/>
    <col min="44" max="44" width="32.6640625" customWidth="1"/>
    <col min="45" max="45" width="29.88671875" customWidth="1"/>
    <col min="46" max="46" width="19.6640625" customWidth="1"/>
    <col min="47" max="47" width="15.44140625" customWidth="1"/>
    <col min="48" max="48" width="19.44140625" customWidth="1"/>
    <col min="49" max="49" width="14.88671875" customWidth="1"/>
    <col min="50" max="50" width="14.44140625" customWidth="1"/>
    <col min="51" max="51" width="14.6640625" customWidth="1"/>
    <col min="52" max="52" width="14" customWidth="1"/>
  </cols>
  <sheetData>
    <row r="1" spans="1:50" ht="78" customHeight="1" thickTop="1" thickBot="1" x14ac:dyDescent="0.35">
      <c r="A1" s="46" t="s">
        <v>0</v>
      </c>
      <c r="B1" s="47" t="s">
        <v>1</v>
      </c>
      <c r="C1" s="2"/>
      <c r="D1" s="116" t="s">
        <v>179</v>
      </c>
      <c r="E1" s="114" t="s">
        <v>5</v>
      </c>
      <c r="F1" s="7" t="s">
        <v>2</v>
      </c>
      <c r="G1" s="8" t="s">
        <v>10</v>
      </c>
      <c r="H1" s="8" t="s">
        <v>6</v>
      </c>
      <c r="I1" s="7" t="s">
        <v>4</v>
      </c>
      <c r="J1" s="9" t="s">
        <v>9</v>
      </c>
      <c r="K1" s="8" t="s">
        <v>11</v>
      </c>
      <c r="L1" s="10" t="s">
        <v>7</v>
      </c>
      <c r="M1" s="10" t="s">
        <v>8</v>
      </c>
      <c r="N1" s="7" t="s">
        <v>3</v>
      </c>
      <c r="O1" s="11" t="s">
        <v>20</v>
      </c>
      <c r="P1" s="7" t="s">
        <v>19</v>
      </c>
      <c r="Q1" s="29" t="s">
        <v>12</v>
      </c>
      <c r="R1" s="12" t="s">
        <v>89</v>
      </c>
      <c r="T1" s="43" t="s">
        <v>14</v>
      </c>
      <c r="U1" s="44" t="s">
        <v>68</v>
      </c>
      <c r="V1" s="63" t="s">
        <v>69</v>
      </c>
      <c r="W1" s="44" t="s">
        <v>13</v>
      </c>
      <c r="X1" s="45" t="s">
        <v>70</v>
      </c>
      <c r="Z1" s="148" t="s">
        <v>65</v>
      </c>
      <c r="AA1" s="149"/>
      <c r="AB1" s="149"/>
      <c r="AC1" s="149"/>
      <c r="AD1" s="149"/>
      <c r="AE1" s="149"/>
      <c r="AF1" s="149"/>
      <c r="AG1" s="149"/>
      <c r="AH1" s="149"/>
      <c r="AI1" s="12">
        <f t="array" ref="AI1">INDEX(D2:D71,MATCH(MAX(COUNTIF(D2:D71,D2:D71)),COUNTIF(D2:D71,D2:D71),0))</f>
        <v>0</v>
      </c>
      <c r="AK1" s="148" t="s">
        <v>175</v>
      </c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50"/>
    </row>
    <row r="2" spans="1:50" ht="16.5" customHeight="1" thickTop="1" thickBot="1" x14ac:dyDescent="0.35">
      <c r="A2" s="48"/>
      <c r="B2" s="49"/>
      <c r="D2" s="124"/>
      <c r="E2" s="115" t="s">
        <v>16</v>
      </c>
      <c r="F2" s="21"/>
      <c r="G2" s="21"/>
      <c r="H2" s="110" t="e">
        <f>(F2*100)/G2</f>
        <v>#DIV/0!</v>
      </c>
      <c r="I2" s="67"/>
      <c r="J2" s="21">
        <f>F2*I2+IF(N2="Фрибет",(F2*I2-F2)-F2*I2)</f>
        <v>0</v>
      </c>
      <c r="K2" s="22" t="e">
        <f>((J2*100)/G2)</f>
        <v>#DIV/0!</v>
      </c>
      <c r="L2" s="68" t="e">
        <f>1-M2</f>
        <v>#DIV/0!</v>
      </c>
      <c r="M2" s="69" t="e">
        <f>1/I2</f>
        <v>#DIV/0!</v>
      </c>
      <c r="N2" s="5"/>
      <c r="O2" s="90"/>
      <c r="P2" s="136" t="s">
        <v>39</v>
      </c>
      <c r="Q2" s="30">
        <f>IF(P2="Победа",1)+IF(P2="Поражение",0)+IF(P2="Не ставил",-2)</f>
        <v>-2</v>
      </c>
      <c r="R2" s="37"/>
      <c r="T2" s="39">
        <f>COUNTIF(Q2:Q1048576,1)+COUNTIF(Q2:Q1048576, 0)</f>
        <v>0</v>
      </c>
      <c r="U2" s="61">
        <f>COUNTIF(Q2:Q1048576,1)</f>
        <v>0</v>
      </c>
      <c r="V2" s="62">
        <f>COUNTIF(Q2:Q1048576,0)</f>
        <v>0</v>
      </c>
      <c r="W2" s="40" t="e">
        <f>(SUMIF(Q2:Q1048576,"=1")+SUMIF(Q2:Q1048576,"=0")*100)/T2</f>
        <v>#DIV/0!</v>
      </c>
      <c r="X2" s="41" t="e">
        <f>1-W2</f>
        <v>#DIV/0!</v>
      </c>
      <c r="Z2" s="190" t="s">
        <v>5</v>
      </c>
      <c r="AA2" s="160" t="s">
        <v>2</v>
      </c>
      <c r="AB2" s="192" t="s">
        <v>10</v>
      </c>
      <c r="AC2" s="193"/>
      <c r="AD2" s="192" t="s">
        <v>6</v>
      </c>
      <c r="AE2" s="193"/>
      <c r="AF2" s="144" t="s">
        <v>4</v>
      </c>
      <c r="AG2" s="144" t="s">
        <v>64</v>
      </c>
      <c r="AH2" s="144" t="s">
        <v>63</v>
      </c>
      <c r="AI2" s="175" t="s">
        <v>66</v>
      </c>
      <c r="AK2" s="179" t="s">
        <v>84</v>
      </c>
      <c r="AL2" s="180"/>
      <c r="AM2" s="185" t="s">
        <v>85</v>
      </c>
      <c r="AN2" s="180"/>
      <c r="AO2" s="186" t="s">
        <v>86</v>
      </c>
      <c r="AP2" s="187"/>
      <c r="AQ2" s="185" t="s">
        <v>87</v>
      </c>
      <c r="AR2" s="180"/>
      <c r="AS2" s="156" t="s">
        <v>123</v>
      </c>
      <c r="AT2" s="157"/>
      <c r="AU2" s="160" t="s">
        <v>119</v>
      </c>
      <c r="AV2" s="144" t="s">
        <v>120</v>
      </c>
      <c r="AW2" s="144" t="s">
        <v>121</v>
      </c>
      <c r="AX2" s="146" t="s">
        <v>122</v>
      </c>
    </row>
    <row r="3" spans="1:50" x14ac:dyDescent="0.3">
      <c r="A3" s="50"/>
      <c r="B3" s="51"/>
      <c r="D3" s="119"/>
      <c r="E3" s="115" t="s">
        <v>16</v>
      </c>
      <c r="F3" s="23"/>
      <c r="G3" s="23"/>
      <c r="H3" s="24" t="e">
        <f t="shared" ref="H3:H25" si="0">(F3*100)/G3</f>
        <v>#DIV/0!</v>
      </c>
      <c r="I3" s="33"/>
      <c r="J3" s="21">
        <f t="shared" ref="J3:J25" si="1">F3*I3+IF(N3="Фрибет",(F3*I3-F3)-F3*I3)</f>
        <v>0</v>
      </c>
      <c r="K3" s="24" t="e">
        <f t="shared" ref="K3:K25" si="2">((J3*100)/G3)</f>
        <v>#DIV/0!</v>
      </c>
      <c r="L3" s="70" t="e">
        <f t="shared" ref="L3:L25" si="3">1-M3</f>
        <v>#DIV/0!</v>
      </c>
      <c r="M3" s="75" t="e">
        <f>1/I3</f>
        <v>#DIV/0!</v>
      </c>
      <c r="N3" s="1"/>
      <c r="O3" s="90"/>
      <c r="P3" s="137" t="s">
        <v>39</v>
      </c>
      <c r="Q3" s="31">
        <f>IF(P3="Победа",1)+IF(P3="Поражение",0)+IF(P3="Не ставил",-2)</f>
        <v>-2</v>
      </c>
      <c r="R3" s="38"/>
      <c r="T3" s="3"/>
      <c r="Z3" s="191"/>
      <c r="AA3" s="161"/>
      <c r="AB3" s="194"/>
      <c r="AC3" s="195"/>
      <c r="AD3" s="194"/>
      <c r="AE3" s="195"/>
      <c r="AF3" s="145"/>
      <c r="AG3" s="145"/>
      <c r="AH3" s="145"/>
      <c r="AI3" s="176"/>
      <c r="AK3" s="181"/>
      <c r="AL3" s="159"/>
      <c r="AM3" s="158"/>
      <c r="AN3" s="159"/>
      <c r="AO3" s="188"/>
      <c r="AP3" s="189"/>
      <c r="AQ3" s="158"/>
      <c r="AR3" s="159"/>
      <c r="AS3" s="158"/>
      <c r="AT3" s="159"/>
      <c r="AU3" s="161"/>
      <c r="AV3" s="145"/>
      <c r="AW3" s="145"/>
      <c r="AX3" s="147"/>
    </row>
    <row r="4" spans="1:50" ht="15" thickBot="1" x14ac:dyDescent="0.35">
      <c r="A4" s="50"/>
      <c r="B4" s="51"/>
      <c r="D4" s="119"/>
      <c r="E4" s="115" t="s">
        <v>16</v>
      </c>
      <c r="F4" s="23"/>
      <c r="G4" s="23"/>
      <c r="H4" s="15" t="e">
        <f t="shared" si="0"/>
        <v>#DIV/0!</v>
      </c>
      <c r="I4" s="33"/>
      <c r="J4" s="21">
        <f>F4*I4+IF(N4="Фрибет",(F4*I4-F4)-F4*I4)</f>
        <v>0</v>
      </c>
      <c r="K4" s="15" t="e">
        <f t="shared" si="2"/>
        <v>#DIV/0!</v>
      </c>
      <c r="L4" s="71" t="e">
        <f t="shared" si="3"/>
        <v>#DIV/0!</v>
      </c>
      <c r="M4" s="76" t="e">
        <f t="shared" ref="M4:M25" si="4">1/I4</f>
        <v>#DIV/0!</v>
      </c>
      <c r="N4" s="16"/>
      <c r="O4" s="90"/>
      <c r="P4" s="137" t="s">
        <v>39</v>
      </c>
      <c r="Q4" s="30">
        <f t="shared" ref="Q4:Q25" si="5">IF(P4="Победа",1)+IF(P4="Поражение",0)+IF(P4="Не ставил",-2)</f>
        <v>-2</v>
      </c>
      <c r="R4" s="38"/>
      <c r="Z4" s="89" t="str">
        <f t="array" ref="Z4">INDEX(E2:E71,MATCH(MAX(COUNTIF(E2:E71,E2:E71)),COUNTIF(E2:E71,E2:E71),0))</f>
        <v>Моя</v>
      </c>
      <c r="AA4" s="57" t="e">
        <f>AVERAGE(F2:F1048576)</f>
        <v>#DIV/0!</v>
      </c>
      <c r="AB4" s="177" t="e">
        <f>AVERAGE(G2:G1048576)</f>
        <v>#DIV/0!</v>
      </c>
      <c r="AC4" s="178"/>
      <c r="AD4" s="183" t="e">
        <f>AVERAGEIF(H2:H1048576, "&gt;0")</f>
        <v>#DIV/0!</v>
      </c>
      <c r="AE4" s="184"/>
      <c r="AF4" s="111" t="e">
        <f>AVERAGE(I2:I1048576)</f>
        <v>#DIV/0!</v>
      </c>
      <c r="AG4" s="85" t="e">
        <f>AVERAGEIF(L2:L1048576,"&gt;0")</f>
        <v>#DIV/0!</v>
      </c>
      <c r="AH4" s="87">
        <f t="array" ref="AH4">INDEX(N2:N71,MATCH(MAX(COUNTIF(N2:N71,N2:N71)),COUNTIF(N2:N71,N2:N71),0))</f>
        <v>0</v>
      </c>
      <c r="AI4" s="88">
        <f t="array" ref="AI4">INDEX(O2:O71,MATCH(MAX(COUNTIF(O2:O71,O2:O71)),COUNTIF(O2:O71,O2:O71),0))</f>
        <v>0</v>
      </c>
      <c r="AK4" s="182">
        <f>MAX(F2:F1048576)</f>
        <v>0</v>
      </c>
      <c r="AL4" s="178"/>
      <c r="AM4" s="177">
        <f>MIN(F2:F1048576)</f>
        <v>0</v>
      </c>
      <c r="AN4" s="178"/>
      <c r="AO4" s="183">
        <f>MAX(I2:I1048576)</f>
        <v>0</v>
      </c>
      <c r="AP4" s="184"/>
      <c r="AQ4" s="183">
        <f>MIN(I2:I1048576)</f>
        <v>0</v>
      </c>
      <c r="AR4" s="184"/>
      <c r="AS4" s="177">
        <f>MAX(J2:J1048576)</f>
        <v>0</v>
      </c>
      <c r="AT4" s="178"/>
      <c r="AU4" s="58">
        <f t="array" ref="AU4">MAX(IF(P2:P71=Мастерская!E1,J2:J71))</f>
        <v>0</v>
      </c>
      <c r="AV4" s="58">
        <f t="array" ref="AV4">MIN(IF(P2:P71=Мастерская!E1,J2:J71))</f>
        <v>0</v>
      </c>
      <c r="AW4" s="58">
        <f t="array" ref="AW4">MAX(IF(P2:P71=Мастерская!E2,F2:F71))</f>
        <v>0</v>
      </c>
      <c r="AX4" s="66">
        <f t="array" ref="AX4">MIN(IF(P2:P71=Мастерская!E2,F2:F71))</f>
        <v>0</v>
      </c>
    </row>
    <row r="5" spans="1:50" x14ac:dyDescent="0.3">
      <c r="A5" s="50"/>
      <c r="B5" s="51"/>
      <c r="D5" s="119"/>
      <c r="E5" s="141" t="s">
        <v>16</v>
      </c>
      <c r="F5" s="14"/>
      <c r="G5" s="14"/>
      <c r="H5" s="15" t="e">
        <f t="shared" si="0"/>
        <v>#DIV/0!</v>
      </c>
      <c r="I5" s="35"/>
      <c r="J5" s="125">
        <f t="shared" si="1"/>
        <v>0</v>
      </c>
      <c r="K5" s="15" t="e">
        <f>((J5*100)/G5)</f>
        <v>#DIV/0!</v>
      </c>
      <c r="L5" s="71" t="e">
        <f t="shared" si="3"/>
        <v>#DIV/0!</v>
      </c>
      <c r="M5" s="76" t="e">
        <f t="shared" si="4"/>
        <v>#DIV/0!</v>
      </c>
      <c r="N5" s="16"/>
      <c r="O5" s="126"/>
      <c r="P5" s="138" t="s">
        <v>39</v>
      </c>
      <c r="Q5" s="127">
        <f t="shared" si="5"/>
        <v>-2</v>
      </c>
      <c r="R5" s="38"/>
    </row>
    <row r="6" spans="1:50" ht="15" thickBot="1" x14ac:dyDescent="0.35">
      <c r="A6" s="50"/>
      <c r="B6" s="51"/>
      <c r="D6" s="119"/>
      <c r="E6" s="115" t="s">
        <v>16</v>
      </c>
      <c r="F6" s="23"/>
      <c r="G6" s="23"/>
      <c r="H6" s="24" t="e">
        <f t="shared" si="0"/>
        <v>#DIV/0!</v>
      </c>
      <c r="I6" s="33"/>
      <c r="J6" s="21">
        <f t="shared" si="1"/>
        <v>0</v>
      </c>
      <c r="K6" s="24" t="e">
        <f t="shared" si="2"/>
        <v>#DIV/0!</v>
      </c>
      <c r="L6" s="70" t="e">
        <f t="shared" si="3"/>
        <v>#DIV/0!</v>
      </c>
      <c r="M6" s="75" t="e">
        <f t="shared" si="4"/>
        <v>#DIV/0!</v>
      </c>
      <c r="N6" s="1"/>
      <c r="O6" s="90"/>
      <c r="P6" s="137" t="s">
        <v>39</v>
      </c>
      <c r="Q6" s="30">
        <f t="shared" si="5"/>
        <v>-2</v>
      </c>
      <c r="R6" s="38"/>
    </row>
    <row r="7" spans="1:50" ht="15.6" thickTop="1" thickBot="1" x14ac:dyDescent="0.35">
      <c r="A7" s="50"/>
      <c r="B7" s="51"/>
      <c r="D7" s="119"/>
      <c r="E7" s="115" t="s">
        <v>16</v>
      </c>
      <c r="F7" s="23"/>
      <c r="G7" s="23"/>
      <c r="H7" s="24" t="e">
        <f t="shared" si="0"/>
        <v>#DIV/0!</v>
      </c>
      <c r="I7" s="33"/>
      <c r="J7" s="21">
        <f t="shared" si="1"/>
        <v>0</v>
      </c>
      <c r="K7" s="24" t="e">
        <f t="shared" si="2"/>
        <v>#DIV/0!</v>
      </c>
      <c r="L7" s="70" t="e">
        <f t="shared" si="3"/>
        <v>#DIV/0!</v>
      </c>
      <c r="M7" s="75" t="e">
        <f t="shared" si="4"/>
        <v>#DIV/0!</v>
      </c>
      <c r="N7" s="1"/>
      <c r="O7" s="90"/>
      <c r="P7" s="137" t="s">
        <v>39</v>
      </c>
      <c r="Q7" s="31">
        <f t="shared" si="5"/>
        <v>-2</v>
      </c>
      <c r="R7" s="38"/>
      <c r="AO7" s="170" t="s">
        <v>108</v>
      </c>
      <c r="AP7" s="171"/>
      <c r="AQ7" s="171"/>
      <c r="AR7" s="171"/>
      <c r="AS7" s="171"/>
      <c r="AT7" s="172"/>
    </row>
    <row r="8" spans="1:50" ht="15" thickTop="1" x14ac:dyDescent="0.3">
      <c r="A8" s="50"/>
      <c r="B8" s="51"/>
      <c r="D8" s="119"/>
      <c r="E8" s="115" t="s">
        <v>16</v>
      </c>
      <c r="F8" s="23"/>
      <c r="G8" s="23"/>
      <c r="H8" s="24" t="e">
        <f t="shared" si="0"/>
        <v>#DIV/0!</v>
      </c>
      <c r="I8" s="33"/>
      <c r="J8" s="21">
        <f t="shared" si="1"/>
        <v>0</v>
      </c>
      <c r="K8" s="24" t="e">
        <f t="shared" si="2"/>
        <v>#DIV/0!</v>
      </c>
      <c r="L8" s="70" t="e">
        <f t="shared" si="3"/>
        <v>#DIV/0!</v>
      </c>
      <c r="M8" s="75" t="e">
        <f t="shared" si="4"/>
        <v>#DIV/0!</v>
      </c>
      <c r="N8" s="1"/>
      <c r="O8" s="90"/>
      <c r="P8" s="137" t="s">
        <v>39</v>
      </c>
      <c r="Q8" s="30">
        <f t="shared" si="5"/>
        <v>-2</v>
      </c>
      <c r="R8" s="38"/>
      <c r="AO8" s="166" t="s">
        <v>178</v>
      </c>
      <c r="AP8" s="167"/>
      <c r="AQ8" s="168" t="s">
        <v>17</v>
      </c>
      <c r="AR8" s="167"/>
      <c r="AS8" s="168" t="s">
        <v>40</v>
      </c>
      <c r="AT8" s="169"/>
    </row>
    <row r="9" spans="1:50" ht="15" thickBot="1" x14ac:dyDescent="0.35">
      <c r="A9" s="52"/>
      <c r="B9" s="51"/>
      <c r="D9" s="119"/>
      <c r="E9" s="141" t="s">
        <v>16</v>
      </c>
      <c r="F9" s="14"/>
      <c r="G9" s="14"/>
      <c r="H9" s="15" t="e">
        <f t="shared" si="0"/>
        <v>#DIV/0!</v>
      </c>
      <c r="I9" s="35"/>
      <c r="J9" s="125">
        <f t="shared" si="1"/>
        <v>0</v>
      </c>
      <c r="K9" s="15" t="e">
        <f t="shared" si="2"/>
        <v>#DIV/0!</v>
      </c>
      <c r="L9" s="71" t="e">
        <f t="shared" si="3"/>
        <v>#DIV/0!</v>
      </c>
      <c r="M9" s="76" t="e">
        <f t="shared" si="4"/>
        <v>#DIV/0!</v>
      </c>
      <c r="N9" s="128"/>
      <c r="O9" s="129"/>
      <c r="P9" s="138" t="s">
        <v>39</v>
      </c>
      <c r="Q9" s="127">
        <f t="shared" si="5"/>
        <v>-2</v>
      </c>
      <c r="R9" s="38"/>
      <c r="AO9" s="162">
        <f>COUNTIF(N2:N1048576, "Одинар")</f>
        <v>0</v>
      </c>
      <c r="AP9" s="163"/>
      <c r="AQ9" s="164">
        <f>COUNTIF(N2:N1048576, "Экспресс")</f>
        <v>0</v>
      </c>
      <c r="AR9" s="163"/>
      <c r="AS9" s="164">
        <f>COUNTIF(N2:N1048576, "Фрибет")</f>
        <v>0</v>
      </c>
      <c r="AT9" s="165"/>
    </row>
    <row r="10" spans="1:50" ht="16.5" customHeight="1" thickBot="1" x14ac:dyDescent="0.35">
      <c r="A10" s="52"/>
      <c r="B10" s="51"/>
      <c r="D10" s="119"/>
      <c r="E10" s="115" t="s">
        <v>16</v>
      </c>
      <c r="F10" s="23"/>
      <c r="G10" s="23"/>
      <c r="H10" s="26" t="e">
        <f t="shared" si="0"/>
        <v>#DIV/0!</v>
      </c>
      <c r="I10" s="33"/>
      <c r="J10" s="21">
        <f t="shared" si="1"/>
        <v>0</v>
      </c>
      <c r="K10" s="26" t="e">
        <f t="shared" si="2"/>
        <v>#DIV/0!</v>
      </c>
      <c r="L10" s="72" t="e">
        <f t="shared" si="3"/>
        <v>#DIV/0!</v>
      </c>
      <c r="M10" s="77" t="e">
        <f t="shared" si="4"/>
        <v>#DIV/0!</v>
      </c>
      <c r="N10" s="130"/>
      <c r="O10" s="126"/>
      <c r="P10" s="137" t="s">
        <v>39</v>
      </c>
      <c r="Q10" s="30">
        <f t="shared" si="5"/>
        <v>-2</v>
      </c>
      <c r="R10" s="38"/>
    </row>
    <row r="11" spans="1:50" ht="15.75" customHeight="1" thickTop="1" thickBot="1" x14ac:dyDescent="0.35">
      <c r="A11" s="50"/>
      <c r="B11" s="51"/>
      <c r="D11" s="119"/>
      <c r="E11" s="115" t="s">
        <v>16</v>
      </c>
      <c r="F11" s="23"/>
      <c r="G11" s="23"/>
      <c r="H11" s="24" t="e">
        <f t="shared" si="0"/>
        <v>#DIV/0!</v>
      </c>
      <c r="I11" s="33"/>
      <c r="J11" s="21">
        <f t="shared" si="1"/>
        <v>0</v>
      </c>
      <c r="K11" s="24" t="e">
        <f t="shared" si="2"/>
        <v>#DIV/0!</v>
      </c>
      <c r="L11" s="70" t="e">
        <f t="shared" si="3"/>
        <v>#DIV/0!</v>
      </c>
      <c r="M11" s="75" t="e">
        <f t="shared" si="4"/>
        <v>#DIV/0!</v>
      </c>
      <c r="N11" s="1"/>
      <c r="O11" s="90"/>
      <c r="P11" s="137" t="s">
        <v>39</v>
      </c>
      <c r="Q11" s="31">
        <f t="shared" si="5"/>
        <v>-2</v>
      </c>
      <c r="R11" s="38"/>
      <c r="AO11" s="151" t="s">
        <v>177</v>
      </c>
      <c r="AP11" s="152"/>
      <c r="AQ11" s="152"/>
      <c r="AR11" s="152"/>
      <c r="AS11" s="152"/>
      <c r="AT11" s="152"/>
      <c r="AU11" s="152"/>
      <c r="AV11" s="153"/>
    </row>
    <row r="12" spans="1:50" ht="15" thickTop="1" x14ac:dyDescent="0.3">
      <c r="A12" s="50"/>
      <c r="B12" s="51"/>
      <c r="D12" s="119"/>
      <c r="E12" s="141" t="s">
        <v>16</v>
      </c>
      <c r="F12" s="14"/>
      <c r="G12" s="14"/>
      <c r="H12" s="131" t="e">
        <f t="shared" si="0"/>
        <v>#DIV/0!</v>
      </c>
      <c r="I12" s="35"/>
      <c r="J12" s="125">
        <f t="shared" si="1"/>
        <v>0</v>
      </c>
      <c r="K12" s="131" t="e">
        <f t="shared" si="2"/>
        <v>#DIV/0!</v>
      </c>
      <c r="L12" s="132" t="e">
        <f t="shared" si="3"/>
        <v>#DIV/0!</v>
      </c>
      <c r="M12" s="133" t="e">
        <f t="shared" si="4"/>
        <v>#DIV/0!</v>
      </c>
      <c r="N12" s="134"/>
      <c r="O12" s="126"/>
      <c r="P12" s="138" t="s">
        <v>39</v>
      </c>
      <c r="Q12" s="135">
        <f t="shared" si="5"/>
        <v>-2</v>
      </c>
      <c r="R12" s="38"/>
      <c r="AO12" s="154" t="s">
        <v>82</v>
      </c>
      <c r="AP12" s="155"/>
      <c r="AQ12" s="155"/>
      <c r="AR12" s="96" t="s">
        <v>109</v>
      </c>
      <c r="AS12" s="96" t="s">
        <v>110</v>
      </c>
      <c r="AT12" s="155" t="s">
        <v>111</v>
      </c>
      <c r="AU12" s="155"/>
      <c r="AV12" s="91" t="s">
        <v>112</v>
      </c>
    </row>
    <row r="13" spans="1:50" ht="15" thickBot="1" x14ac:dyDescent="0.35">
      <c r="A13" s="50"/>
      <c r="B13" s="51"/>
      <c r="D13" s="119"/>
      <c r="E13" s="115" t="s">
        <v>16</v>
      </c>
      <c r="F13" s="23"/>
      <c r="G13" s="23"/>
      <c r="H13" s="24" t="e">
        <f t="shared" si="0"/>
        <v>#DIV/0!</v>
      </c>
      <c r="I13" s="33"/>
      <c r="J13" s="21">
        <f t="shared" si="1"/>
        <v>0</v>
      </c>
      <c r="K13" s="24" t="e">
        <f t="shared" si="2"/>
        <v>#DIV/0!</v>
      </c>
      <c r="L13" s="70" t="e">
        <f t="shared" si="3"/>
        <v>#DIV/0!</v>
      </c>
      <c r="M13" s="75" t="e">
        <f t="shared" si="4"/>
        <v>#DIV/0!</v>
      </c>
      <c r="N13" s="1"/>
      <c r="O13" s="90"/>
      <c r="P13" s="137" t="s">
        <v>39</v>
      </c>
      <c r="Q13" s="31">
        <f t="shared" si="5"/>
        <v>-2</v>
      </c>
      <c r="R13" s="38"/>
      <c r="AO13" s="173">
        <f>IF(AO12="Футбол - Лига Чемпионов УЕФА",Мастерская!J1, 0)+IF(AO12="Футбол - Лига Европы УЕФА",Мастерская!J2, 0)+IF(AO12="Футбол - Еврокубки. Другое",Мастерская!J3, 0)+IF(AO12="Футбол - Россия. РПЛ",Мастерская!J4, 0)+IF(AO12="Футбол - Кубок России",Мастерская!J5, 0)+IF(AO12="Футбол - Россия. ФНЛ",Мастерская!J6, 0)+IF(AO12="Футбол - Россия. ПФЛ",Мастерская!J7, 0)+IF(AO12="Футбол - Россия. Другое",Мастерская!J8, 0)+IF(AO12="Футбол - Англия. АПЛ",Мастерская!J9, 0)+IF(AO12="Футбол - Кубок Англии",Мастерская!J10, 0)+IF(AO12="Футбол - Англия. Кубок Лиги",Мастерская!J11, 0)+IF(AO12="Футбол - Англия. Чемпионшип",Мастерская!J12, 0)+IF(AO12="Футбол - Испания. Ла Лига",Мастерская!J13, 0)+IF(AO12="Футбол - Италия. Серия А",Мастерская!J14, 0)+IF(AO12="Футбол - Германия. Бундеслига",Мастерская!J15, 0)+IF(AO12="Футбол - Франция. Лига 1",Мастерская!J16, 0)+IF(AO12="Футбол - Португалия. Лига NOS",Мастерская!J17, 0)+IF(AO12="Футбол - Турция. Суперлига",Мастерская!J18, 0)+IF(AO12="Футбол - Нидерланды. Эредивизи",Мастерская!J19, 0)+IF(AO12="Футбол - Греция. Суперлига",Мастерская!J20, 0)+IF(AO12="Футбол - Украина. УПЛ",Мастерская!J21, 0)+IF(AO12="Футбол - Кубок Либертадорес",Мастерская!J22, 0)+IF(AO12="Футбол - США/Канада. MLS",Мастерская!J23, 0)+IF(AO12="Футбол - Бразилия. Сериа А",Мастерская!J24, 0)+IF(AO12="Футбол - Аргентина. Суперлига",Мастерская!J25, 0)+IF(AO12="Футбол - Китай. Суперлига",Мастерская!J26, 0)+IF(AO12="Футбол - Сборные. Чемпионат мира",Мастерская!J27, 0)+IF(AO12="Футбол - Сборные. Чемпионат Европы",Мастерская!J28, 0)+IF(AO12="Футбол - Сборные. Лига Наций",Мастерская!J29, 0)+IF(AO12="Футбол - Сборные. Кубок Америки",Мастерская!J30, 0)+IF(AO12="Футбол - Сборные. Кубок Азии",Мастерская!J31, 0)+IF(AO12="Футбол - Сборные. Кубок Африки",Мастерская!J32, 0)+IF(AO12="Футбол - Сборные. КОНКАКАФ",Мастерская!J33, 0)+IF(AO12="Футбол - Сборные.  Другое",Мастерская!J34, 0)+IF(AO12="Хоккей - КХЛ",Мастерская!J35, 0)+IF(AO12="Хоккей - НХЛ",Мастерская!J36, 0)+IF(AO12="Хоккей - Сборные. Чемпионат мира",Мастерская!J37, 0)+IF(AO12="Хоккей - Сборные. Евротур",Мастерская!J38, 0)+IF(AO12="Смешанные единоборства - UFC",Мастерская!J39, 0)+IF(AO12="Смешанные единоборства - Bellator",Мастерская!J40, 0)+IF(AO12="Смешанные единоборства - M-1",Мастерская!J41, 0)+IF(AO12="Смешанные единоборства - Fight Nights Global",Мастерская!J42, 0)+IF(AO12="Бокс - WBA",Мастерская!J43, 0)+IF(AO12="Бокс - WBC",Мастерская!J44, 0)+IF(AO12="Бокс - WBO",Мастерская!J45, 0)+IF(AO12="Бокс - IBF",Мастерская!J46, 0)+IF(AO12="Бокс - IBO",Мастерская!J47, 0)+IF(AO12="Теннис - Уимблдон. ATP",Мастерская!J48, 0)+IF(AO12="Теннис - Уимблдон. WTA",Мастерская!J49, 0)+IF(AO12="Теннис - Australian Open",Мастерская!J50, 0)+IF(AO12="Теннис - Франция. Ролан Гаррос",Мастерская!J51, 0)+IF(AO12="Теннис - US Open",Мастерская!J52, 0)+IF(AO12="Теннис - Кубок Федерации",Мастерская!J53, 0)+IF(AO12="Теннис - Кубок Дэвиса",Мастерская!J54, 0)+IF(AO12="Теннис - Кубок Кремля",Мастерская!J55, 0)+IF(AO12="Баскетбол - Сборные. Чемпионат мира",Мастерская!J56, 0)+IF(AO12="Баскетбол - Сборные. Чемпионат Европы",Мастерская!J57, 0)+IF(AO12="Баскетбол - Евролига",Мастерская!J58, 0)+IF(AO12="Баскетбол - Еврокубок",Мастерская!J59, 0)+IF(AO12="Баскетбол - Лига Чемпионов",Мастерская!J60, 0)+IF(AO12="Баскетбол - Россия. Единая Лига ВТБ",Мастерская!J61, 0)+IF(AO12="Баскетбол - США. NBA",Мастерская!J62, 0)+IF(AO12="Волейбол - Сборные. Чемпионат мира",Мастерская!J63, 0)+IF(AO12="Волейбол - Сборные. Кубок мира",Мастерская!J64, 0)+IF(AO12="Волейбол - Сборные. Всемирный Кубок Чемпионов",Мастерская!J65, 0)+IF(AO12="Волейбол - Сборные. Лига наций",Мастерская!J66, 0)+IF(AO12="Волейбол - Сборные. Чемпионат Европы",Мастерская!J67, 0)+IF(AO12="Волейбол - Евролига",Мастерская!J68, 0)+IF(AO12="Волейбол - Чемпионат России",Мастерская!J69, 0)+IF(AO12="Биатлон - Чемпионат мира",Мастерская!J70, 0)+IF(AO12="Биатлон - Чемпионат Европы",Мастерская!J71, 0)+IF(AO12="Биатлон - Кубок мира",Мастерская!J72, 0)+IF(AO12="Биатлон - Кубок IBU",Мастерская!J73, 0)+IF(AO12="Формула-1",Мастерская!J74, 0)+IF(AO12="Киберспорт - The International. Dota 2 Championships",Мастерская!J75, 0)+IF(AO12="Киберспорт - Другое",Мастерская!J76, 0)+IF(AO12="Мини-футбол - Сборные. Чемпионат мира",Мастерская!J77, 0)+IF(AO12="Мини-футбол - Сборные. Чемпионат Европы",Мастерская!J78, 0)+IF(AO12="Мини-футбол - Лига Чемпионов УЕФА",Мастерская!J79, 0)+IF(AO12="Мини-футбол - Россия. Суперлига",Мастерская!J80, 0)+IF(AO12="Мини-футбол - Бразилия. Лига футзала",Мастерская!J81, 0)+IF(AO12="Пляжный футбол - Сборные. Чемпионат мира",Мастерская!J82, 0)+IF(AO12="Пляжный футбол - Сборные. Межконтинентальный кубок",Мастерская!J83, 0)+IF(AO12="Пляжный футбол - Сборные. Кубок Европы",Мастерская!J84, 0)+IF(AO12="Пляжный футбол - Кубок европейских чемпионов",Мастерская!J85, 0)+IF(AO12="Пляжный футбол - Чемпионат России",Мастерская!J86, 0)+IF(AO12="Настольный теннис - Сборные. Чемпионат мира",Мастерская!J87, 0)+IF(AO12="Настольный теннис - Сборные. Чемпионат Европы",Мастерская!J88, 0)+IF(AO12="Хоккей с мячом - Сборные. Чемпионат мира",Мастерская!J89, 0)+IF(AO12="Хоккей с мячом - Россия. Суперлига",Мастерская!J90, 0)+IF(AO12="Гандбол",Мастерская!J91, 0)+IF(AO12="Снукер",Мастерская!J92, 0)+IF(AO12="Скачки",Мастерская!J93, 0)+IF(AO12="Американский футбол",Мастерская!J94, 0)+IF(AO12="Бейсбол",Мастерская!J95, 0)+IF(AO12="Водное поло",Мастерская!J96, 0)+IF(AO12="Лыжные гонки",Мастерская!J97, 0)+IF(AO12="Тяжёлая атлетика",Мастерская!J98, 0)+IF(AO12="Лёгкая атлетика",Мастерская!J99, 0)+IF(AO12="Регби",Мастерская!J100, 0)+IF(AO12="Пляжный волейбол",Мастерская!J101, 0)+IF(AO12="Кёрлинг",Мастерская!J102, 0)+IF(AO12="Гольф",Мастерская!J103, 0)+IF(AO12="Прыжки с трамплина",Мастерская!J104, 0)</f>
        <v>0</v>
      </c>
      <c r="AP13" s="174"/>
      <c r="AQ13" s="174"/>
      <c r="AR13" s="95">
        <f>SUM(Мастерская!J1:J34)</f>
        <v>0</v>
      </c>
      <c r="AS13" s="95">
        <f>SUM(Мастерская!J35:J38)</f>
        <v>0</v>
      </c>
      <c r="AT13" s="174">
        <f>SUM(Мастерская!J39:J42)</f>
        <v>0</v>
      </c>
      <c r="AU13" s="174"/>
      <c r="AV13" s="97">
        <f>SUM(Мастерская!J43:J47)</f>
        <v>0</v>
      </c>
    </row>
    <row r="14" spans="1:50" ht="15" thickTop="1" x14ac:dyDescent="0.3">
      <c r="A14" s="50"/>
      <c r="B14" s="51"/>
      <c r="D14" s="119"/>
      <c r="E14" s="115" t="s">
        <v>16</v>
      </c>
      <c r="F14" s="23"/>
      <c r="G14" s="23"/>
      <c r="H14" s="24" t="e">
        <f t="shared" si="0"/>
        <v>#DIV/0!</v>
      </c>
      <c r="I14" s="33"/>
      <c r="J14" s="21">
        <f t="shared" si="1"/>
        <v>0</v>
      </c>
      <c r="K14" s="24" t="e">
        <f t="shared" si="2"/>
        <v>#DIV/0!</v>
      </c>
      <c r="L14" s="70" t="e">
        <f t="shared" si="3"/>
        <v>#DIV/0!</v>
      </c>
      <c r="M14" s="75" t="e">
        <f t="shared" si="4"/>
        <v>#DIV/0!</v>
      </c>
      <c r="N14" s="1"/>
      <c r="O14" s="90"/>
      <c r="P14" s="137" t="s">
        <v>39</v>
      </c>
      <c r="Q14" s="30">
        <f t="shared" si="5"/>
        <v>-2</v>
      </c>
      <c r="R14" s="38"/>
      <c r="AO14" s="92" t="s">
        <v>113</v>
      </c>
      <c r="AP14" s="94" t="s">
        <v>114</v>
      </c>
      <c r="AQ14" s="94" t="s">
        <v>115</v>
      </c>
      <c r="AR14" s="94" t="s">
        <v>116</v>
      </c>
      <c r="AS14" s="94" t="s">
        <v>61</v>
      </c>
      <c r="AT14" s="94" t="s">
        <v>117</v>
      </c>
      <c r="AU14" s="94" t="s">
        <v>151</v>
      </c>
      <c r="AV14" s="98" t="s">
        <v>152</v>
      </c>
    </row>
    <row r="15" spans="1:50" ht="15" thickBot="1" x14ac:dyDescent="0.35">
      <c r="A15" s="50"/>
      <c r="B15" s="51"/>
      <c r="D15" s="119"/>
      <c r="E15" s="115" t="s">
        <v>16</v>
      </c>
      <c r="F15" s="23"/>
      <c r="G15" s="23"/>
      <c r="H15" s="24" t="e">
        <f t="shared" si="0"/>
        <v>#DIV/0!</v>
      </c>
      <c r="I15" s="33"/>
      <c r="J15" s="21">
        <f t="shared" si="1"/>
        <v>0</v>
      </c>
      <c r="K15" s="24" t="e">
        <f t="shared" si="2"/>
        <v>#DIV/0!</v>
      </c>
      <c r="L15" s="70" t="e">
        <f t="shared" si="3"/>
        <v>#DIV/0!</v>
      </c>
      <c r="M15" s="75" t="e">
        <f t="shared" si="4"/>
        <v>#DIV/0!</v>
      </c>
      <c r="N15" s="1"/>
      <c r="O15" s="90"/>
      <c r="P15" s="137" t="s">
        <v>39</v>
      </c>
      <c r="Q15" s="31">
        <f t="shared" si="5"/>
        <v>-2</v>
      </c>
      <c r="R15" s="38"/>
      <c r="AO15" s="93">
        <f>SUM(Мастерская!J48:J55)</f>
        <v>0</v>
      </c>
      <c r="AP15" s="95">
        <f>SUM(Мастерская!J56:J62)</f>
        <v>0</v>
      </c>
      <c r="AQ15" s="95">
        <f>SUM(Мастерская!J63:J69)</f>
        <v>0</v>
      </c>
      <c r="AR15" s="95">
        <f>SUM(Мастерская!J70:J73)</f>
        <v>0</v>
      </c>
      <c r="AS15" s="95">
        <f>Мастерская!J74</f>
        <v>0</v>
      </c>
      <c r="AT15" s="95">
        <f>SUM(Мастерская!J75:J76)</f>
        <v>0</v>
      </c>
      <c r="AU15" s="95">
        <f>SUM(Мастерская!J77:J81)</f>
        <v>0</v>
      </c>
      <c r="AV15" s="97">
        <f>SUM(Мастерская!J82:J86)</f>
        <v>0</v>
      </c>
    </row>
    <row r="16" spans="1:50" ht="15" thickTop="1" x14ac:dyDescent="0.3">
      <c r="A16" s="50"/>
      <c r="B16" s="51"/>
      <c r="D16" s="119"/>
      <c r="E16" s="115" t="s">
        <v>16</v>
      </c>
      <c r="F16" s="23"/>
      <c r="G16" s="23"/>
      <c r="H16" s="24" t="e">
        <f t="shared" si="0"/>
        <v>#DIV/0!</v>
      </c>
      <c r="I16" s="33"/>
      <c r="J16" s="21">
        <f t="shared" si="1"/>
        <v>0</v>
      </c>
      <c r="K16" s="24" t="e">
        <f t="shared" si="2"/>
        <v>#DIV/0!</v>
      </c>
      <c r="L16" s="70" t="e">
        <f t="shared" si="3"/>
        <v>#DIV/0!</v>
      </c>
      <c r="M16" s="75" t="e">
        <f t="shared" si="4"/>
        <v>#DIV/0!</v>
      </c>
      <c r="N16" s="1"/>
      <c r="O16" s="90"/>
      <c r="P16" s="137" t="s">
        <v>39</v>
      </c>
      <c r="Q16" s="30">
        <f t="shared" si="5"/>
        <v>-2</v>
      </c>
      <c r="R16" s="38"/>
      <c r="AO16" s="99" t="s">
        <v>145</v>
      </c>
      <c r="AP16" s="100" t="s">
        <v>154</v>
      </c>
      <c r="AQ16" s="100" t="s">
        <v>144</v>
      </c>
      <c r="AR16" s="100" t="s">
        <v>155</v>
      </c>
      <c r="AS16" s="100" t="s">
        <v>146</v>
      </c>
      <c r="AT16" s="100" t="s">
        <v>153</v>
      </c>
      <c r="AU16" s="100" t="s">
        <v>143</v>
      </c>
      <c r="AV16" s="101" t="s">
        <v>157</v>
      </c>
    </row>
    <row r="17" spans="1:48" ht="15" thickBot="1" x14ac:dyDescent="0.35">
      <c r="A17" s="50"/>
      <c r="B17" s="51"/>
      <c r="D17" s="119"/>
      <c r="E17" s="115" t="s">
        <v>16</v>
      </c>
      <c r="F17" s="23"/>
      <c r="G17" s="23"/>
      <c r="H17" s="24" t="e">
        <f t="shared" si="0"/>
        <v>#DIV/0!</v>
      </c>
      <c r="I17" s="33"/>
      <c r="J17" s="21">
        <f t="shared" si="1"/>
        <v>0</v>
      </c>
      <c r="K17" s="24" t="e">
        <f t="shared" si="2"/>
        <v>#DIV/0!</v>
      </c>
      <c r="L17" s="70" t="e">
        <f t="shared" si="3"/>
        <v>#DIV/0!</v>
      </c>
      <c r="M17" s="75" t="e">
        <f t="shared" si="4"/>
        <v>#DIV/0!</v>
      </c>
      <c r="N17" s="1"/>
      <c r="O17" s="90"/>
      <c r="P17" s="137" t="s">
        <v>39</v>
      </c>
      <c r="Q17" s="31">
        <f t="shared" si="5"/>
        <v>-2</v>
      </c>
      <c r="R17" s="38"/>
      <c r="AO17" s="102">
        <f>SUM(Мастерская!J87:J88)</f>
        <v>0</v>
      </c>
      <c r="AP17" s="103">
        <f>SUM(Мастерская!J89:J90)</f>
        <v>0</v>
      </c>
      <c r="AQ17" s="103">
        <f>Мастерская!J91</f>
        <v>0</v>
      </c>
      <c r="AR17" s="103">
        <f>Мастерская!J92</f>
        <v>0</v>
      </c>
      <c r="AS17" s="103">
        <f>Мастерская!J93</f>
        <v>0</v>
      </c>
      <c r="AT17" s="103">
        <f>Мастерская!J94</f>
        <v>0</v>
      </c>
      <c r="AU17" s="103">
        <f>Мастерская!J95</f>
        <v>0</v>
      </c>
      <c r="AV17" s="104">
        <f>Мастерская!J96</f>
        <v>0</v>
      </c>
    </row>
    <row r="18" spans="1:48" ht="15" thickTop="1" x14ac:dyDescent="0.3">
      <c r="A18" s="50"/>
      <c r="B18" s="51"/>
      <c r="D18" s="119"/>
      <c r="E18" s="115" t="s">
        <v>16</v>
      </c>
      <c r="F18" s="23"/>
      <c r="G18" s="23"/>
      <c r="H18" s="24" t="e">
        <f t="shared" si="0"/>
        <v>#DIV/0!</v>
      </c>
      <c r="I18" s="33"/>
      <c r="J18" s="21">
        <f t="shared" si="1"/>
        <v>0</v>
      </c>
      <c r="K18" s="24" t="e">
        <f t="shared" si="2"/>
        <v>#DIV/0!</v>
      </c>
      <c r="L18" s="70" t="e">
        <f t="shared" si="3"/>
        <v>#DIV/0!</v>
      </c>
      <c r="M18" s="75" t="e">
        <f t="shared" si="4"/>
        <v>#DIV/0!</v>
      </c>
      <c r="N18" s="1"/>
      <c r="O18" s="90"/>
      <c r="P18" s="137" t="s">
        <v>39</v>
      </c>
      <c r="Q18" s="30">
        <f t="shared" si="5"/>
        <v>-2</v>
      </c>
      <c r="R18" s="38"/>
      <c r="AO18" s="99" t="s">
        <v>156</v>
      </c>
      <c r="AP18" s="100" t="s">
        <v>159</v>
      </c>
      <c r="AQ18" s="100" t="s">
        <v>158</v>
      </c>
      <c r="AR18" s="100" t="s">
        <v>161</v>
      </c>
      <c r="AS18" s="100" t="s">
        <v>162</v>
      </c>
      <c r="AT18" s="100" t="s">
        <v>160</v>
      </c>
      <c r="AU18" s="100" t="s">
        <v>163</v>
      </c>
      <c r="AV18" s="101" t="s">
        <v>164</v>
      </c>
    </row>
    <row r="19" spans="1:48" ht="15" thickBot="1" x14ac:dyDescent="0.35">
      <c r="A19" s="50"/>
      <c r="B19" s="51"/>
      <c r="D19" s="119"/>
      <c r="E19" s="115" t="s">
        <v>16</v>
      </c>
      <c r="F19" s="23"/>
      <c r="G19" s="23"/>
      <c r="H19" s="24" t="e">
        <f t="shared" si="0"/>
        <v>#DIV/0!</v>
      </c>
      <c r="I19" s="33"/>
      <c r="J19" s="21">
        <f t="shared" si="1"/>
        <v>0</v>
      </c>
      <c r="K19" s="24" t="e">
        <f t="shared" si="2"/>
        <v>#DIV/0!</v>
      </c>
      <c r="L19" s="70" t="e">
        <f t="shared" si="3"/>
        <v>#DIV/0!</v>
      </c>
      <c r="M19" s="75" t="e">
        <f t="shared" si="4"/>
        <v>#DIV/0!</v>
      </c>
      <c r="N19" s="1"/>
      <c r="O19" s="90"/>
      <c r="P19" s="137" t="s">
        <v>39</v>
      </c>
      <c r="Q19" s="31">
        <f t="shared" si="5"/>
        <v>-2</v>
      </c>
      <c r="R19" s="38"/>
      <c r="AO19" s="105">
        <f>Мастерская!J97</f>
        <v>0</v>
      </c>
      <c r="AP19" s="106">
        <f>Мастерская!J98</f>
        <v>0</v>
      </c>
      <c r="AQ19" s="106">
        <f>Мастерская!J99</f>
        <v>0</v>
      </c>
      <c r="AR19" s="106">
        <f>Мастерская!J100</f>
        <v>0</v>
      </c>
      <c r="AS19" s="106">
        <f>Мастерская!J101</f>
        <v>0</v>
      </c>
      <c r="AT19" s="106">
        <f>Мастерская!J102</f>
        <v>0</v>
      </c>
      <c r="AU19" s="106">
        <f>Мастерская!J103</f>
        <v>0</v>
      </c>
      <c r="AV19" s="107">
        <f>Мастерская!J104</f>
        <v>0</v>
      </c>
    </row>
    <row r="20" spans="1:48" ht="15" thickBot="1" x14ac:dyDescent="0.35">
      <c r="A20" s="50"/>
      <c r="B20" s="51"/>
      <c r="D20" s="119"/>
      <c r="E20" s="115" t="s">
        <v>16</v>
      </c>
      <c r="F20" s="23"/>
      <c r="G20" s="23"/>
      <c r="H20" s="24" t="e">
        <f t="shared" si="0"/>
        <v>#DIV/0!</v>
      </c>
      <c r="I20" s="33"/>
      <c r="J20" s="21">
        <f t="shared" si="1"/>
        <v>0</v>
      </c>
      <c r="K20" s="24" t="e">
        <f t="shared" si="2"/>
        <v>#DIV/0!</v>
      </c>
      <c r="L20" s="70" t="e">
        <f t="shared" si="3"/>
        <v>#DIV/0!</v>
      </c>
      <c r="M20" s="75" t="e">
        <f t="shared" si="4"/>
        <v>#DIV/0!</v>
      </c>
      <c r="N20" s="1"/>
      <c r="O20" s="90"/>
      <c r="P20" s="137" t="s">
        <v>39</v>
      </c>
      <c r="Q20" s="30">
        <f t="shared" si="5"/>
        <v>-2</v>
      </c>
      <c r="R20" s="38"/>
    </row>
    <row r="21" spans="1:48" ht="15.6" thickTop="1" thickBot="1" x14ac:dyDescent="0.35">
      <c r="A21" s="50"/>
      <c r="B21" s="51"/>
      <c r="D21" s="119"/>
      <c r="E21" s="115" t="s">
        <v>16</v>
      </c>
      <c r="F21" s="23"/>
      <c r="G21" s="23"/>
      <c r="H21" s="24" t="e">
        <f t="shared" si="0"/>
        <v>#DIV/0!</v>
      </c>
      <c r="I21" s="33"/>
      <c r="J21" s="21">
        <f t="shared" si="1"/>
        <v>0</v>
      </c>
      <c r="K21" s="24" t="e">
        <f t="shared" si="2"/>
        <v>#DIV/0!</v>
      </c>
      <c r="L21" s="70" t="e">
        <f t="shared" si="3"/>
        <v>#DIV/0!</v>
      </c>
      <c r="M21" s="75" t="e">
        <f t="shared" si="4"/>
        <v>#DIV/0!</v>
      </c>
      <c r="N21" s="1"/>
      <c r="O21" s="90"/>
      <c r="P21" s="137" t="s">
        <v>39</v>
      </c>
      <c r="Q21" s="31">
        <f t="shared" si="5"/>
        <v>-2</v>
      </c>
      <c r="R21" s="38"/>
      <c r="AO21" s="170" t="s">
        <v>202</v>
      </c>
      <c r="AP21" s="171"/>
      <c r="AQ21" s="171"/>
      <c r="AR21" s="171"/>
      <c r="AS21" s="172"/>
    </row>
    <row r="22" spans="1:48" ht="16.5" customHeight="1" thickTop="1" x14ac:dyDescent="0.3">
      <c r="A22" s="50"/>
      <c r="B22" s="51"/>
      <c r="D22" s="119"/>
      <c r="E22" s="115" t="s">
        <v>16</v>
      </c>
      <c r="F22" s="23"/>
      <c r="G22" s="23"/>
      <c r="H22" s="24" t="e">
        <f t="shared" si="0"/>
        <v>#DIV/0!</v>
      </c>
      <c r="I22" s="33"/>
      <c r="J22" s="21">
        <f t="shared" si="1"/>
        <v>0</v>
      </c>
      <c r="K22" s="24" t="e">
        <f t="shared" si="2"/>
        <v>#DIV/0!</v>
      </c>
      <c r="L22" s="70" t="e">
        <f t="shared" si="3"/>
        <v>#DIV/0!</v>
      </c>
      <c r="M22" s="75" t="e">
        <f t="shared" si="4"/>
        <v>#DIV/0!</v>
      </c>
      <c r="N22" s="1"/>
      <c r="O22" s="90"/>
      <c r="P22" s="137" t="s">
        <v>39</v>
      </c>
      <c r="Q22" s="30">
        <f t="shared" si="5"/>
        <v>-2</v>
      </c>
      <c r="R22" s="38"/>
      <c r="T22" s="42"/>
      <c r="U22" s="42"/>
      <c r="V22" s="42"/>
      <c r="W22" s="42"/>
      <c r="X22" s="42"/>
      <c r="Y22" s="42"/>
      <c r="Z22" s="42"/>
      <c r="AA22" s="42"/>
      <c r="AB22" s="42"/>
      <c r="AO22" s="113" t="s">
        <v>180</v>
      </c>
      <c r="AP22" s="96" t="s">
        <v>181</v>
      </c>
      <c r="AQ22" s="96" t="s">
        <v>182</v>
      </c>
      <c r="AR22" s="112" t="s">
        <v>183</v>
      </c>
      <c r="AS22" s="91" t="s">
        <v>184</v>
      </c>
    </row>
    <row r="23" spans="1:48" ht="15.75" customHeight="1" thickBot="1" x14ac:dyDescent="0.35">
      <c r="A23" s="50"/>
      <c r="B23" s="51"/>
      <c r="D23" s="119"/>
      <c r="E23" s="115" t="s">
        <v>16</v>
      </c>
      <c r="F23" s="23"/>
      <c r="G23" s="23"/>
      <c r="H23" s="24" t="e">
        <f t="shared" si="0"/>
        <v>#DIV/0!</v>
      </c>
      <c r="I23" s="33"/>
      <c r="J23" s="21">
        <f t="shared" si="1"/>
        <v>0</v>
      </c>
      <c r="K23" s="24" t="e">
        <f t="shared" si="2"/>
        <v>#DIV/0!</v>
      </c>
      <c r="L23" s="70" t="e">
        <f t="shared" si="3"/>
        <v>#DIV/0!</v>
      </c>
      <c r="M23" s="75" t="e">
        <f t="shared" si="4"/>
        <v>#DIV/0!</v>
      </c>
      <c r="N23" s="1"/>
      <c r="O23" s="90"/>
      <c r="P23" s="137" t="s">
        <v>39</v>
      </c>
      <c r="Q23" s="31">
        <f t="shared" si="5"/>
        <v>-2</v>
      </c>
      <c r="R23" s="38"/>
      <c r="T23" s="42"/>
      <c r="U23" s="42"/>
      <c r="V23" s="42"/>
      <c r="W23" s="42"/>
      <c r="X23" s="42"/>
      <c r="Y23" s="42"/>
      <c r="Z23" s="42"/>
      <c r="AA23" s="42"/>
      <c r="AO23" s="93">
        <f>COUNTIF(D2:D1048576, "Победитель")</f>
        <v>0</v>
      </c>
      <c r="AP23" s="95">
        <f>COUNTIF(D2:D1048576, "Ничья")</f>
        <v>0</v>
      </c>
      <c r="AQ23" s="95">
        <f>COUNTIF(D2:D1048576, "Двойной шанс")</f>
        <v>0</v>
      </c>
      <c r="AR23" s="95">
        <f>COUNTIF(D2:D1048576, "Победитель (при ничьей - возврат)")</f>
        <v>0</v>
      </c>
      <c r="AS23" s="97">
        <f>COUNTIF(D2:D1048576, "Фора")</f>
        <v>0</v>
      </c>
    </row>
    <row r="24" spans="1:48" ht="15" customHeight="1" thickTop="1" thickBot="1" x14ac:dyDescent="0.35">
      <c r="A24" s="50"/>
      <c r="B24" s="51"/>
      <c r="D24" s="119"/>
      <c r="E24" s="115" t="s">
        <v>16</v>
      </c>
      <c r="F24" s="23"/>
      <c r="G24" s="23"/>
      <c r="H24" s="24" t="e">
        <f t="shared" si="0"/>
        <v>#DIV/0!</v>
      </c>
      <c r="I24" s="33"/>
      <c r="J24" s="21">
        <f t="shared" si="1"/>
        <v>0</v>
      </c>
      <c r="K24" s="24" t="e">
        <f t="shared" si="2"/>
        <v>#DIV/0!</v>
      </c>
      <c r="L24" s="70" t="e">
        <f t="shared" si="3"/>
        <v>#DIV/0!</v>
      </c>
      <c r="M24" s="75" t="e">
        <f t="shared" si="4"/>
        <v>#DIV/0!</v>
      </c>
      <c r="N24" s="1"/>
      <c r="O24" s="90"/>
      <c r="P24" s="137" t="s">
        <v>39</v>
      </c>
      <c r="Q24" s="30">
        <f t="shared" si="5"/>
        <v>-2</v>
      </c>
      <c r="R24" s="38"/>
      <c r="T24" s="42"/>
      <c r="U24" s="42"/>
      <c r="V24" s="42"/>
      <c r="W24" s="42"/>
      <c r="X24" s="42"/>
      <c r="Y24" s="42"/>
      <c r="Z24" s="42"/>
      <c r="AA24" s="42"/>
      <c r="AB24" s="42"/>
      <c r="AO24" s="92" t="s">
        <v>185</v>
      </c>
      <c r="AP24" s="94" t="s">
        <v>186</v>
      </c>
      <c r="AQ24" s="120" t="s">
        <v>187</v>
      </c>
      <c r="AR24" s="94" t="s">
        <v>189</v>
      </c>
      <c r="AS24" s="98" t="s">
        <v>190</v>
      </c>
    </row>
    <row r="25" spans="1:48" ht="15" customHeight="1" thickTop="1" thickBot="1" x14ac:dyDescent="0.35">
      <c r="A25" s="53"/>
      <c r="B25" s="54"/>
      <c r="D25" s="119"/>
      <c r="E25" s="115" t="s">
        <v>16</v>
      </c>
      <c r="F25" s="23"/>
      <c r="G25" s="23"/>
      <c r="H25" s="24" t="e">
        <f t="shared" si="0"/>
        <v>#DIV/0!</v>
      </c>
      <c r="I25" s="33"/>
      <c r="J25" s="21">
        <f t="shared" si="1"/>
        <v>0</v>
      </c>
      <c r="K25" s="24" t="e">
        <f t="shared" si="2"/>
        <v>#DIV/0!</v>
      </c>
      <c r="L25" s="70" t="e">
        <f t="shared" si="3"/>
        <v>#DIV/0!</v>
      </c>
      <c r="M25" s="75" t="e">
        <f t="shared" si="4"/>
        <v>#DIV/0!</v>
      </c>
      <c r="N25" s="1"/>
      <c r="O25" s="90"/>
      <c r="P25" s="137" t="s">
        <v>39</v>
      </c>
      <c r="Q25" s="31">
        <f t="shared" si="5"/>
        <v>-2</v>
      </c>
      <c r="R25" s="38"/>
      <c r="U25" s="59"/>
      <c r="W25" s="60"/>
      <c r="AL25" s="80" t="s">
        <v>242</v>
      </c>
      <c r="AM25" s="12" t="s">
        <v>243</v>
      </c>
      <c r="AO25" s="93">
        <f>COUNTIF(D2:D1048576, "Тотал")</f>
        <v>0</v>
      </c>
      <c r="AP25" s="95">
        <f>COUNTIF(D2:D1048576, "Точный счёт")</f>
        <v>0</v>
      </c>
      <c r="AQ25" s="95">
        <f>COUNTIF(D2:D1048576,"Точный счёт + исход ""Другой""")</f>
        <v>0</v>
      </c>
      <c r="AR25" s="95">
        <f>COUNTIF(D2:D1048576, "Кол-во голов")</f>
        <v>0</v>
      </c>
      <c r="AS25" s="97">
        <f>COUNTIF(D2:D1048576, "Инд. Тотал")</f>
        <v>0</v>
      </c>
    </row>
    <row r="26" spans="1:48" ht="15.75" customHeight="1" thickTop="1" thickBot="1" x14ac:dyDescent="0.35">
      <c r="A26" s="50"/>
      <c r="B26" s="51"/>
      <c r="D26" s="119"/>
      <c r="E26" s="115" t="s">
        <v>16</v>
      </c>
      <c r="F26" s="23"/>
      <c r="G26" s="23"/>
      <c r="H26" s="26" t="e">
        <f>(F26*100)/G26</f>
        <v>#DIV/0!</v>
      </c>
      <c r="I26" s="33"/>
      <c r="J26" s="21">
        <f t="shared" ref="J26:J32" si="6">F26*I26+IF(N26="Фрибет",(F26*I26-F26)-F26*I26)</f>
        <v>0</v>
      </c>
      <c r="K26" s="26" t="e">
        <f t="shared" ref="K26" si="7">((J26*100)/G26)</f>
        <v>#DIV/0!</v>
      </c>
      <c r="L26" s="72" t="e">
        <f t="shared" ref="L26" si="8">1-M26</f>
        <v>#DIV/0!</v>
      </c>
      <c r="M26" s="77" t="e">
        <f t="shared" ref="M26" si="9">1/I26</f>
        <v>#DIV/0!</v>
      </c>
      <c r="N26" s="4"/>
      <c r="O26" s="90"/>
      <c r="P26" s="137" t="s">
        <v>39</v>
      </c>
      <c r="Q26" s="30">
        <f t="shared" ref="Q26:Q32" si="10">IF(P26="Победа",1)+IF(P26="Поражение",0)+IF(P26="Не ставил",-2)</f>
        <v>-2</v>
      </c>
      <c r="R26" s="38"/>
      <c r="AL26" s="139">
        <f>SUM(A2:A71)</f>
        <v>0</v>
      </c>
      <c r="AM26" s="140">
        <f>SUM(B2:B71)</f>
        <v>0</v>
      </c>
      <c r="AO26" s="92" t="s">
        <v>191</v>
      </c>
      <c r="AP26" s="94" t="s">
        <v>192</v>
      </c>
      <c r="AQ26" s="94" t="s">
        <v>193</v>
      </c>
      <c r="AR26" s="94" t="s">
        <v>194</v>
      </c>
      <c r="AS26" s="98" t="s">
        <v>195</v>
      </c>
    </row>
    <row r="27" spans="1:48" ht="15.75" customHeight="1" thickTop="1" thickBot="1" x14ac:dyDescent="0.35">
      <c r="A27" s="50"/>
      <c r="B27" s="51"/>
      <c r="D27" s="119"/>
      <c r="E27" s="115" t="s">
        <v>16</v>
      </c>
      <c r="F27" s="23"/>
      <c r="G27" s="23"/>
      <c r="H27" s="24" t="e">
        <f t="shared" ref="H27:H32" si="11">(F27*100)/G27</f>
        <v>#DIV/0!</v>
      </c>
      <c r="I27" s="33"/>
      <c r="J27" s="21">
        <f t="shared" si="6"/>
        <v>0</v>
      </c>
      <c r="K27" s="24" t="e">
        <f t="shared" ref="K27:K32" si="12">((J27*100)/G27)</f>
        <v>#DIV/0!</v>
      </c>
      <c r="L27" s="70" t="e">
        <f t="shared" ref="L27:L32" si="13">1-M27</f>
        <v>#DIV/0!</v>
      </c>
      <c r="M27" s="75" t="e">
        <f t="shared" ref="M27:M32" si="14">1/I27</f>
        <v>#DIV/0!</v>
      </c>
      <c r="N27" s="1"/>
      <c r="O27" s="90"/>
      <c r="P27" s="137" t="s">
        <v>39</v>
      </c>
      <c r="Q27" s="31">
        <f t="shared" si="10"/>
        <v>-2</v>
      </c>
      <c r="R27" s="38"/>
      <c r="AL27" s="196" t="s">
        <v>244</v>
      </c>
      <c r="AM27" s="197"/>
      <c r="AO27" s="93">
        <f>COUNTIF(D2:D1048576, "Обе команды забьют")</f>
        <v>0</v>
      </c>
      <c r="AP27" s="95">
        <f>COUNTIF(D2:D1048576, "Сколько команд забьёт")</f>
        <v>0</v>
      </c>
      <c r="AQ27" s="95">
        <f>COUNTIF(D2:D1048576, "Кто забьёт 1-й гол")</f>
        <v>0</v>
      </c>
      <c r="AR27" s="95">
        <f>COUNTIF(D2:D1048576, "Кто забьёт последний гол")</f>
        <v>0</v>
      </c>
      <c r="AS27" s="97">
        <f>COUNTIF(D2:D1048576, "Наиболее результативный тайм")</f>
        <v>0</v>
      </c>
    </row>
    <row r="28" spans="1:48" ht="15.75" customHeight="1" thickTop="1" thickBot="1" x14ac:dyDescent="0.35">
      <c r="A28" s="50"/>
      <c r="B28" s="51"/>
      <c r="D28" s="119"/>
      <c r="E28" s="115" t="s">
        <v>16</v>
      </c>
      <c r="F28" s="23"/>
      <c r="G28" s="23"/>
      <c r="H28" s="24" t="e">
        <f t="shared" si="11"/>
        <v>#DIV/0!</v>
      </c>
      <c r="I28" s="33"/>
      <c r="J28" s="21">
        <f t="shared" si="6"/>
        <v>0</v>
      </c>
      <c r="K28" s="24" t="e">
        <f t="shared" si="12"/>
        <v>#DIV/0!</v>
      </c>
      <c r="L28" s="70" t="e">
        <f t="shared" si="13"/>
        <v>#DIV/0!</v>
      </c>
      <c r="M28" s="75" t="e">
        <f t="shared" si="14"/>
        <v>#DIV/0!</v>
      </c>
      <c r="N28" s="1"/>
      <c r="O28" s="90"/>
      <c r="P28" s="137" t="s">
        <v>39</v>
      </c>
      <c r="Q28" s="30">
        <f t="shared" si="10"/>
        <v>-2</v>
      </c>
      <c r="R28" s="38"/>
      <c r="AL28" s="198">
        <f>(AM26-AL26)</f>
        <v>0</v>
      </c>
      <c r="AM28" s="199"/>
      <c r="AO28" s="92" t="s">
        <v>196</v>
      </c>
      <c r="AP28" s="94" t="s">
        <v>197</v>
      </c>
      <c r="AQ28" s="94" t="s">
        <v>198</v>
      </c>
      <c r="AR28" s="94" t="s">
        <v>203</v>
      </c>
      <c r="AS28" s="98" t="s">
        <v>199</v>
      </c>
    </row>
    <row r="29" spans="1:48" ht="15.75" customHeight="1" thickBot="1" x14ac:dyDescent="0.35">
      <c r="A29" s="50"/>
      <c r="B29" s="51"/>
      <c r="D29" s="119"/>
      <c r="E29" s="115" t="s">
        <v>16</v>
      </c>
      <c r="F29" s="23"/>
      <c r="G29" s="23"/>
      <c r="H29" s="24" t="e">
        <f t="shared" si="11"/>
        <v>#DIV/0!</v>
      </c>
      <c r="I29" s="33"/>
      <c r="J29" s="21">
        <f t="shared" si="6"/>
        <v>0</v>
      </c>
      <c r="K29" s="24" t="e">
        <f t="shared" si="12"/>
        <v>#DIV/0!</v>
      </c>
      <c r="L29" s="70" t="e">
        <f t="shared" si="13"/>
        <v>#DIV/0!</v>
      </c>
      <c r="M29" s="75" t="e">
        <f t="shared" si="14"/>
        <v>#DIV/0!</v>
      </c>
      <c r="N29" s="1"/>
      <c r="O29" s="90"/>
      <c r="P29" s="137" t="s">
        <v>39</v>
      </c>
      <c r="Q29" s="31">
        <f t="shared" si="10"/>
        <v>-2</v>
      </c>
      <c r="R29" s="38"/>
      <c r="AO29" s="93">
        <f>COUNTIF(D2:D1048576, "Чет/нечет")</f>
        <v>0</v>
      </c>
      <c r="AP29" s="95">
        <f>COUNTIF(D2:D1048576, "Победитель + Разница мячей")</f>
        <v>0</v>
      </c>
      <c r="AQ29" s="95">
        <f>COUNTIF(D2:D1048576, "Победитель + Обе забьют")</f>
        <v>0</v>
      </c>
      <c r="AR29" s="95">
        <f>COUNTIF(D2:D1048576, "Победитель + Тотал")</f>
        <v>0</v>
      </c>
      <c r="AS29" s="97">
        <f>COUNTIF(D2:D1048576, "Автор гола")</f>
        <v>0</v>
      </c>
    </row>
    <row r="30" spans="1:48" ht="15.75" customHeight="1" thickTop="1" x14ac:dyDescent="0.3">
      <c r="A30" s="50"/>
      <c r="B30" s="51"/>
      <c r="D30" s="119"/>
      <c r="E30" s="115" t="s">
        <v>16</v>
      </c>
      <c r="F30" s="23"/>
      <c r="G30" s="23"/>
      <c r="H30" s="24" t="e">
        <f t="shared" si="11"/>
        <v>#DIV/0!</v>
      </c>
      <c r="I30" s="33"/>
      <c r="J30" s="21">
        <f t="shared" si="6"/>
        <v>0</v>
      </c>
      <c r="K30" s="24" t="e">
        <f t="shared" si="12"/>
        <v>#DIV/0!</v>
      </c>
      <c r="L30" s="70" t="e">
        <f t="shared" si="13"/>
        <v>#DIV/0!</v>
      </c>
      <c r="M30" s="75" t="e">
        <f t="shared" si="14"/>
        <v>#DIV/0!</v>
      </c>
      <c r="N30" s="1"/>
      <c r="O30" s="90"/>
      <c r="P30" s="137" t="s">
        <v>39</v>
      </c>
      <c r="Q30" s="30">
        <f t="shared" si="10"/>
        <v>-2</v>
      </c>
      <c r="R30" s="38"/>
      <c r="AO30" s="92" t="s">
        <v>200</v>
      </c>
      <c r="AP30" s="94" t="s">
        <v>201</v>
      </c>
      <c r="AQ30" s="94"/>
      <c r="AR30" s="94"/>
      <c r="AS30" s="98"/>
    </row>
    <row r="31" spans="1:48" ht="15.75" customHeight="1" thickBot="1" x14ac:dyDescent="0.35">
      <c r="A31" s="50"/>
      <c r="B31" s="54"/>
      <c r="D31" s="119"/>
      <c r="E31" s="115" t="s">
        <v>16</v>
      </c>
      <c r="F31" s="23"/>
      <c r="G31" s="23"/>
      <c r="H31" s="24" t="e">
        <f t="shared" si="11"/>
        <v>#DIV/0!</v>
      </c>
      <c r="I31" s="33"/>
      <c r="J31" s="21">
        <f t="shared" si="6"/>
        <v>0</v>
      </c>
      <c r="K31" s="24" t="e">
        <f t="shared" si="12"/>
        <v>#DIV/0!</v>
      </c>
      <c r="L31" s="70" t="e">
        <f t="shared" si="13"/>
        <v>#DIV/0!</v>
      </c>
      <c r="M31" s="75" t="e">
        <f t="shared" si="14"/>
        <v>#DIV/0!</v>
      </c>
      <c r="N31" s="1"/>
      <c r="O31" s="90"/>
      <c r="P31" s="137" t="s">
        <v>39</v>
      </c>
      <c r="Q31" s="31">
        <f t="shared" si="10"/>
        <v>-2</v>
      </c>
      <c r="R31" s="38"/>
      <c r="AO31" s="121">
        <f>COUNTIF(D2:D1048576, "Лучший бомбардир")</f>
        <v>0</v>
      </c>
      <c r="AP31" s="122">
        <f>COUNTIF(D2:D1048576, "Победитель турнира")</f>
        <v>0</v>
      </c>
      <c r="AQ31" s="122"/>
      <c r="AR31" s="122"/>
      <c r="AS31" s="123"/>
    </row>
    <row r="32" spans="1:48" ht="15.75" customHeight="1" x14ac:dyDescent="0.3">
      <c r="A32" s="55"/>
      <c r="B32" s="51"/>
      <c r="D32" s="119"/>
      <c r="E32" s="115" t="s">
        <v>16</v>
      </c>
      <c r="F32" s="23"/>
      <c r="G32" s="23"/>
      <c r="H32" s="24" t="e">
        <f t="shared" si="11"/>
        <v>#DIV/0!</v>
      </c>
      <c r="I32" s="33"/>
      <c r="J32" s="21">
        <f t="shared" si="6"/>
        <v>0</v>
      </c>
      <c r="K32" s="24" t="e">
        <f t="shared" si="12"/>
        <v>#DIV/0!</v>
      </c>
      <c r="L32" s="70" t="e">
        <f t="shared" si="13"/>
        <v>#DIV/0!</v>
      </c>
      <c r="M32" s="75" t="e">
        <f t="shared" si="14"/>
        <v>#DIV/0!</v>
      </c>
      <c r="N32" s="1"/>
      <c r="O32" s="90"/>
      <c r="P32" s="137" t="s">
        <v>39</v>
      </c>
      <c r="Q32" s="30">
        <f t="shared" si="10"/>
        <v>-2</v>
      </c>
      <c r="R32" s="38"/>
    </row>
    <row r="33" spans="1:18" ht="15" customHeight="1" x14ac:dyDescent="0.3">
      <c r="A33" s="50"/>
      <c r="B33" s="49"/>
      <c r="D33" s="119"/>
      <c r="E33" s="115" t="s">
        <v>16</v>
      </c>
      <c r="F33" s="23"/>
      <c r="G33" s="23"/>
      <c r="H33" s="24" t="e">
        <f t="shared" ref="H33:H39" si="15">(F33*100)/G33</f>
        <v>#DIV/0!</v>
      </c>
      <c r="I33" s="33"/>
      <c r="J33" s="21">
        <f t="shared" ref="J33:J39" si="16">F33*I33+IF(N33="Фрибет",(F33*I33-F33)-F33*I33)</f>
        <v>0</v>
      </c>
      <c r="K33" s="24" t="e">
        <f t="shared" ref="K33:K39" si="17">((J33*100)/G33)</f>
        <v>#DIV/0!</v>
      </c>
      <c r="L33" s="70" t="e">
        <f t="shared" ref="L33:L39" si="18">1-M33</f>
        <v>#DIV/0!</v>
      </c>
      <c r="M33" s="75" t="e">
        <f t="shared" ref="M33:M39" si="19">1/I33</f>
        <v>#DIV/0!</v>
      </c>
      <c r="N33" s="1"/>
      <c r="O33" s="90"/>
      <c r="P33" s="137" t="s">
        <v>39</v>
      </c>
      <c r="Q33" s="30">
        <f t="shared" ref="Q33:Q39" si="20">IF(P33="Победа",1)+IF(P33="Поражение",0)+IF(P33="Не ставил",-2)</f>
        <v>-2</v>
      </c>
      <c r="R33" s="38"/>
    </row>
    <row r="34" spans="1:18" ht="15" customHeight="1" x14ac:dyDescent="0.3">
      <c r="A34" s="50"/>
      <c r="B34" s="51"/>
      <c r="D34" s="119"/>
      <c r="E34" s="115" t="s">
        <v>16</v>
      </c>
      <c r="F34" s="23"/>
      <c r="G34" s="23"/>
      <c r="H34" s="24" t="e">
        <f t="shared" si="15"/>
        <v>#DIV/0!</v>
      </c>
      <c r="I34" s="33"/>
      <c r="J34" s="21">
        <f t="shared" si="16"/>
        <v>0</v>
      </c>
      <c r="K34" s="24" t="e">
        <f t="shared" si="17"/>
        <v>#DIV/0!</v>
      </c>
      <c r="L34" s="70" t="e">
        <f t="shared" si="18"/>
        <v>#DIV/0!</v>
      </c>
      <c r="M34" s="75" t="e">
        <f t="shared" si="19"/>
        <v>#DIV/0!</v>
      </c>
      <c r="N34" s="1"/>
      <c r="O34" s="90"/>
      <c r="P34" s="137" t="s">
        <v>39</v>
      </c>
      <c r="Q34" s="30">
        <f t="shared" si="20"/>
        <v>-2</v>
      </c>
      <c r="R34" s="38"/>
    </row>
    <row r="35" spans="1:18" ht="15" customHeight="1" x14ac:dyDescent="0.3">
      <c r="A35" s="50"/>
      <c r="B35" s="51"/>
      <c r="D35" s="119"/>
      <c r="E35" s="115" t="s">
        <v>16</v>
      </c>
      <c r="F35" s="23"/>
      <c r="G35" s="23"/>
      <c r="H35" s="24" t="e">
        <f t="shared" si="15"/>
        <v>#DIV/0!</v>
      </c>
      <c r="I35" s="33"/>
      <c r="J35" s="21">
        <f t="shared" si="16"/>
        <v>0</v>
      </c>
      <c r="K35" s="24" t="e">
        <f t="shared" si="17"/>
        <v>#DIV/0!</v>
      </c>
      <c r="L35" s="70" t="e">
        <f t="shared" si="18"/>
        <v>#DIV/0!</v>
      </c>
      <c r="M35" s="75" t="e">
        <f t="shared" si="19"/>
        <v>#DIV/0!</v>
      </c>
      <c r="N35" s="1"/>
      <c r="O35" s="90"/>
      <c r="P35" s="137" t="s">
        <v>39</v>
      </c>
      <c r="Q35" s="30">
        <f t="shared" si="20"/>
        <v>-2</v>
      </c>
      <c r="R35" s="38"/>
    </row>
    <row r="36" spans="1:18" ht="15" customHeight="1" x14ac:dyDescent="0.3">
      <c r="A36" s="50"/>
      <c r="B36" s="51"/>
      <c r="D36" s="119"/>
      <c r="E36" s="115" t="s">
        <v>16</v>
      </c>
      <c r="F36" s="23"/>
      <c r="G36" s="23"/>
      <c r="H36" s="24" t="e">
        <f t="shared" si="15"/>
        <v>#DIV/0!</v>
      </c>
      <c r="I36" s="33"/>
      <c r="J36" s="21">
        <f t="shared" si="16"/>
        <v>0</v>
      </c>
      <c r="K36" s="24" t="e">
        <f t="shared" si="17"/>
        <v>#DIV/0!</v>
      </c>
      <c r="L36" s="70" t="e">
        <f t="shared" si="18"/>
        <v>#DIV/0!</v>
      </c>
      <c r="M36" s="75" t="e">
        <f t="shared" si="19"/>
        <v>#DIV/0!</v>
      </c>
      <c r="N36" s="1"/>
      <c r="O36" s="90"/>
      <c r="P36" s="137" t="s">
        <v>39</v>
      </c>
      <c r="Q36" s="30">
        <f t="shared" si="20"/>
        <v>-2</v>
      </c>
      <c r="R36" s="38"/>
    </row>
    <row r="37" spans="1:18" ht="15" customHeight="1" x14ac:dyDescent="0.3">
      <c r="A37" s="50"/>
      <c r="B37" s="51"/>
      <c r="D37" s="119"/>
      <c r="E37" s="115" t="s">
        <v>16</v>
      </c>
      <c r="F37" s="23"/>
      <c r="G37" s="23"/>
      <c r="H37" s="24" t="e">
        <f t="shared" si="15"/>
        <v>#DIV/0!</v>
      </c>
      <c r="I37" s="33"/>
      <c r="J37" s="21">
        <f t="shared" si="16"/>
        <v>0</v>
      </c>
      <c r="K37" s="24" t="e">
        <f t="shared" si="17"/>
        <v>#DIV/0!</v>
      </c>
      <c r="L37" s="70" t="e">
        <f t="shared" si="18"/>
        <v>#DIV/0!</v>
      </c>
      <c r="M37" s="75" t="e">
        <f t="shared" si="19"/>
        <v>#DIV/0!</v>
      </c>
      <c r="N37" s="1"/>
      <c r="O37" s="90"/>
      <c r="P37" s="137" t="s">
        <v>39</v>
      </c>
      <c r="Q37" s="30">
        <f t="shared" si="20"/>
        <v>-2</v>
      </c>
      <c r="R37" s="38"/>
    </row>
    <row r="38" spans="1:18" ht="15" customHeight="1" x14ac:dyDescent="0.3">
      <c r="A38" s="50"/>
      <c r="B38" s="51"/>
      <c r="D38" s="119"/>
      <c r="E38" s="115" t="s">
        <v>16</v>
      </c>
      <c r="F38" s="23"/>
      <c r="G38" s="23"/>
      <c r="H38" s="24" t="e">
        <f t="shared" si="15"/>
        <v>#DIV/0!</v>
      </c>
      <c r="I38" s="33"/>
      <c r="J38" s="21">
        <f t="shared" si="16"/>
        <v>0</v>
      </c>
      <c r="K38" s="24" t="e">
        <f t="shared" si="17"/>
        <v>#DIV/0!</v>
      </c>
      <c r="L38" s="70" t="e">
        <f t="shared" si="18"/>
        <v>#DIV/0!</v>
      </c>
      <c r="M38" s="75" t="e">
        <f t="shared" si="19"/>
        <v>#DIV/0!</v>
      </c>
      <c r="N38" s="1"/>
      <c r="O38" s="90"/>
      <c r="P38" s="137" t="s">
        <v>39</v>
      </c>
      <c r="Q38" s="30">
        <f t="shared" si="20"/>
        <v>-2</v>
      </c>
      <c r="R38" s="38"/>
    </row>
    <row r="39" spans="1:18" ht="15" customHeight="1" x14ac:dyDescent="0.3">
      <c r="A39" s="50"/>
      <c r="B39" s="51"/>
      <c r="D39" s="119"/>
      <c r="E39" s="115" t="s">
        <v>16</v>
      </c>
      <c r="F39" s="23"/>
      <c r="G39" s="23"/>
      <c r="H39" s="24" t="e">
        <f t="shared" si="15"/>
        <v>#DIV/0!</v>
      </c>
      <c r="I39" s="33"/>
      <c r="J39" s="21">
        <f t="shared" si="16"/>
        <v>0</v>
      </c>
      <c r="K39" s="24" t="e">
        <f t="shared" si="17"/>
        <v>#DIV/0!</v>
      </c>
      <c r="L39" s="70" t="e">
        <f t="shared" si="18"/>
        <v>#DIV/0!</v>
      </c>
      <c r="M39" s="75" t="e">
        <f t="shared" si="19"/>
        <v>#DIV/0!</v>
      </c>
      <c r="N39" s="1"/>
      <c r="O39" s="90"/>
      <c r="P39" s="137" t="s">
        <v>39</v>
      </c>
      <c r="Q39" s="30">
        <f t="shared" si="20"/>
        <v>-2</v>
      </c>
      <c r="R39" s="38"/>
    </row>
    <row r="40" spans="1:18" ht="15" customHeight="1" x14ac:dyDescent="0.3">
      <c r="A40" s="50"/>
      <c r="B40" s="51"/>
      <c r="D40" s="119"/>
      <c r="E40" s="115" t="s">
        <v>16</v>
      </c>
      <c r="F40" s="23"/>
      <c r="G40" s="23"/>
      <c r="H40" s="24" t="e">
        <f t="shared" ref="H40:H51" si="21">(F40*100)/G40</f>
        <v>#DIV/0!</v>
      </c>
      <c r="I40" s="33"/>
      <c r="J40" s="21">
        <f t="shared" ref="J40:J51" si="22">F40*I40+IF(N40="Фрибет",(F40*I40-F40)-F40*I40)</f>
        <v>0</v>
      </c>
      <c r="K40" s="24" t="e">
        <f t="shared" ref="K40:K51" si="23">((J40*100)/G40)</f>
        <v>#DIV/0!</v>
      </c>
      <c r="L40" s="70" t="e">
        <f t="shared" ref="L40:L51" si="24">1-M40</f>
        <v>#DIV/0!</v>
      </c>
      <c r="M40" s="75" t="e">
        <f t="shared" ref="M40:M51" si="25">1/I40</f>
        <v>#DIV/0!</v>
      </c>
      <c r="N40" s="1"/>
      <c r="O40" s="90"/>
      <c r="P40" s="137" t="s">
        <v>39</v>
      </c>
      <c r="Q40" s="30">
        <f t="shared" ref="Q40:Q51" si="26">IF(P40="Победа",1)+IF(P40="Поражение",0)+IF(P40="Не ставил",-2)</f>
        <v>-2</v>
      </c>
      <c r="R40" s="38"/>
    </row>
    <row r="41" spans="1:18" ht="15" customHeight="1" x14ac:dyDescent="0.3">
      <c r="A41" s="50"/>
      <c r="B41" s="51"/>
      <c r="D41" s="119"/>
      <c r="E41" s="115" t="s">
        <v>16</v>
      </c>
      <c r="F41" s="23"/>
      <c r="G41" s="23"/>
      <c r="H41" s="24" t="e">
        <f t="shared" si="21"/>
        <v>#DIV/0!</v>
      </c>
      <c r="I41" s="33"/>
      <c r="J41" s="21">
        <f t="shared" si="22"/>
        <v>0</v>
      </c>
      <c r="K41" s="24" t="e">
        <f t="shared" si="23"/>
        <v>#DIV/0!</v>
      </c>
      <c r="L41" s="70" t="e">
        <f t="shared" si="24"/>
        <v>#DIV/0!</v>
      </c>
      <c r="M41" s="75" t="e">
        <f t="shared" si="25"/>
        <v>#DIV/0!</v>
      </c>
      <c r="N41" s="1"/>
      <c r="O41" s="90"/>
      <c r="P41" s="137" t="s">
        <v>39</v>
      </c>
      <c r="Q41" s="30">
        <f t="shared" si="26"/>
        <v>-2</v>
      </c>
      <c r="R41" s="38"/>
    </row>
    <row r="42" spans="1:18" ht="15" customHeight="1" x14ac:dyDescent="0.3">
      <c r="A42" s="50"/>
      <c r="B42" s="51"/>
      <c r="D42" s="119"/>
      <c r="E42" s="115" t="s">
        <v>16</v>
      </c>
      <c r="F42" s="23"/>
      <c r="G42" s="23"/>
      <c r="H42" s="24" t="e">
        <f t="shared" si="21"/>
        <v>#DIV/0!</v>
      </c>
      <c r="I42" s="33"/>
      <c r="J42" s="21">
        <f t="shared" si="22"/>
        <v>0</v>
      </c>
      <c r="K42" s="24" t="e">
        <f t="shared" si="23"/>
        <v>#DIV/0!</v>
      </c>
      <c r="L42" s="70" t="e">
        <f t="shared" si="24"/>
        <v>#DIV/0!</v>
      </c>
      <c r="M42" s="75" t="e">
        <f t="shared" si="25"/>
        <v>#DIV/0!</v>
      </c>
      <c r="N42" s="1"/>
      <c r="O42" s="90"/>
      <c r="P42" s="137" t="s">
        <v>39</v>
      </c>
      <c r="Q42" s="30">
        <f t="shared" si="26"/>
        <v>-2</v>
      </c>
      <c r="R42" s="38"/>
    </row>
    <row r="43" spans="1:18" ht="15" customHeight="1" x14ac:dyDescent="0.3">
      <c r="A43" s="50"/>
      <c r="B43" s="51"/>
      <c r="D43" s="119"/>
      <c r="E43" s="115" t="s">
        <v>16</v>
      </c>
      <c r="F43" s="23"/>
      <c r="G43" s="23"/>
      <c r="H43" s="24" t="e">
        <f t="shared" si="21"/>
        <v>#DIV/0!</v>
      </c>
      <c r="I43" s="33"/>
      <c r="J43" s="21">
        <f t="shared" si="22"/>
        <v>0</v>
      </c>
      <c r="K43" s="24" t="e">
        <f t="shared" si="23"/>
        <v>#DIV/0!</v>
      </c>
      <c r="L43" s="70" t="e">
        <f t="shared" si="24"/>
        <v>#DIV/0!</v>
      </c>
      <c r="M43" s="75" t="e">
        <f t="shared" si="25"/>
        <v>#DIV/0!</v>
      </c>
      <c r="N43" s="1"/>
      <c r="O43" s="90"/>
      <c r="P43" s="137" t="s">
        <v>39</v>
      </c>
      <c r="Q43" s="30">
        <f t="shared" si="26"/>
        <v>-2</v>
      </c>
      <c r="R43" s="38"/>
    </row>
    <row r="44" spans="1:18" ht="15" customHeight="1" x14ac:dyDescent="0.3">
      <c r="A44" s="50"/>
      <c r="B44" s="51"/>
      <c r="D44" s="119"/>
      <c r="E44" s="115" t="s">
        <v>16</v>
      </c>
      <c r="F44" s="23"/>
      <c r="G44" s="23"/>
      <c r="H44" s="24" t="e">
        <f t="shared" si="21"/>
        <v>#DIV/0!</v>
      </c>
      <c r="I44" s="33"/>
      <c r="J44" s="21">
        <f t="shared" si="22"/>
        <v>0</v>
      </c>
      <c r="K44" s="24" t="e">
        <f t="shared" si="23"/>
        <v>#DIV/0!</v>
      </c>
      <c r="L44" s="70" t="e">
        <f t="shared" si="24"/>
        <v>#DIV/0!</v>
      </c>
      <c r="M44" s="75" t="e">
        <f t="shared" si="25"/>
        <v>#DIV/0!</v>
      </c>
      <c r="N44" s="1"/>
      <c r="O44" s="90"/>
      <c r="P44" s="137" t="s">
        <v>39</v>
      </c>
      <c r="Q44" s="30">
        <f t="shared" si="26"/>
        <v>-2</v>
      </c>
      <c r="R44" s="38"/>
    </row>
    <row r="45" spans="1:18" x14ac:dyDescent="0.3">
      <c r="A45" s="50"/>
      <c r="B45" s="51"/>
      <c r="D45" s="119"/>
      <c r="E45" s="115" t="s">
        <v>16</v>
      </c>
      <c r="F45" s="23"/>
      <c r="G45" s="23"/>
      <c r="H45" s="24" t="e">
        <f t="shared" si="21"/>
        <v>#DIV/0!</v>
      </c>
      <c r="I45" s="33"/>
      <c r="J45" s="21">
        <f t="shared" si="22"/>
        <v>0</v>
      </c>
      <c r="K45" s="24" t="e">
        <f t="shared" si="23"/>
        <v>#DIV/0!</v>
      </c>
      <c r="L45" s="70" t="e">
        <f t="shared" si="24"/>
        <v>#DIV/0!</v>
      </c>
      <c r="M45" s="75" t="e">
        <f t="shared" si="25"/>
        <v>#DIV/0!</v>
      </c>
      <c r="N45" s="1"/>
      <c r="O45" s="90"/>
      <c r="P45" s="137" t="s">
        <v>39</v>
      </c>
      <c r="Q45" s="30">
        <f t="shared" si="26"/>
        <v>-2</v>
      </c>
      <c r="R45" s="38"/>
    </row>
    <row r="46" spans="1:18" x14ac:dyDescent="0.3">
      <c r="A46" s="50"/>
      <c r="B46" s="51"/>
      <c r="D46" s="119"/>
      <c r="E46" s="115" t="s">
        <v>16</v>
      </c>
      <c r="F46" s="23"/>
      <c r="G46" s="23"/>
      <c r="H46" s="24" t="e">
        <f t="shared" si="21"/>
        <v>#DIV/0!</v>
      </c>
      <c r="I46" s="33"/>
      <c r="J46" s="21">
        <f t="shared" si="22"/>
        <v>0</v>
      </c>
      <c r="K46" s="24" t="e">
        <f t="shared" si="23"/>
        <v>#DIV/0!</v>
      </c>
      <c r="L46" s="70" t="e">
        <f t="shared" si="24"/>
        <v>#DIV/0!</v>
      </c>
      <c r="M46" s="75" t="e">
        <f t="shared" si="25"/>
        <v>#DIV/0!</v>
      </c>
      <c r="N46" s="1"/>
      <c r="O46" s="90"/>
      <c r="P46" s="137" t="s">
        <v>39</v>
      </c>
      <c r="Q46" s="30">
        <f t="shared" si="26"/>
        <v>-2</v>
      </c>
      <c r="R46" s="38"/>
    </row>
    <row r="47" spans="1:18" x14ac:dyDescent="0.3">
      <c r="A47" s="50"/>
      <c r="B47" s="51"/>
      <c r="D47" s="119"/>
      <c r="E47" s="115" t="s">
        <v>16</v>
      </c>
      <c r="F47" s="23"/>
      <c r="G47" s="23"/>
      <c r="H47" s="24" t="e">
        <f t="shared" si="21"/>
        <v>#DIV/0!</v>
      </c>
      <c r="I47" s="33"/>
      <c r="J47" s="21">
        <f t="shared" si="22"/>
        <v>0</v>
      </c>
      <c r="K47" s="24" t="e">
        <f t="shared" si="23"/>
        <v>#DIV/0!</v>
      </c>
      <c r="L47" s="70" t="e">
        <f t="shared" si="24"/>
        <v>#DIV/0!</v>
      </c>
      <c r="M47" s="75" t="e">
        <f t="shared" si="25"/>
        <v>#DIV/0!</v>
      </c>
      <c r="N47" s="1"/>
      <c r="O47" s="90"/>
      <c r="P47" s="137" t="s">
        <v>39</v>
      </c>
      <c r="Q47" s="30">
        <f t="shared" si="26"/>
        <v>-2</v>
      </c>
      <c r="R47" s="38"/>
    </row>
    <row r="48" spans="1:18" x14ac:dyDescent="0.3">
      <c r="A48" s="50"/>
      <c r="B48" s="51"/>
      <c r="D48" s="119"/>
      <c r="E48" s="115" t="s">
        <v>16</v>
      </c>
      <c r="F48" s="23"/>
      <c r="G48" s="23"/>
      <c r="H48" s="24" t="e">
        <f t="shared" si="21"/>
        <v>#DIV/0!</v>
      </c>
      <c r="I48" s="33"/>
      <c r="J48" s="21">
        <f t="shared" si="22"/>
        <v>0</v>
      </c>
      <c r="K48" s="24" t="e">
        <f t="shared" si="23"/>
        <v>#DIV/0!</v>
      </c>
      <c r="L48" s="70" t="e">
        <f t="shared" si="24"/>
        <v>#DIV/0!</v>
      </c>
      <c r="M48" s="75" t="e">
        <f t="shared" si="25"/>
        <v>#DIV/0!</v>
      </c>
      <c r="N48" s="1"/>
      <c r="O48" s="90"/>
      <c r="P48" s="137" t="s">
        <v>39</v>
      </c>
      <c r="Q48" s="30">
        <f t="shared" si="26"/>
        <v>-2</v>
      </c>
      <c r="R48" s="38"/>
    </row>
    <row r="49" spans="1:18" x14ac:dyDescent="0.3">
      <c r="A49" s="53"/>
      <c r="B49" s="54"/>
      <c r="D49" s="119"/>
      <c r="E49" s="115" t="s">
        <v>16</v>
      </c>
      <c r="F49" s="23"/>
      <c r="G49" s="23"/>
      <c r="H49" s="24" t="e">
        <f t="shared" si="21"/>
        <v>#DIV/0!</v>
      </c>
      <c r="I49" s="33"/>
      <c r="J49" s="21">
        <f t="shared" si="22"/>
        <v>0</v>
      </c>
      <c r="K49" s="24" t="e">
        <f t="shared" si="23"/>
        <v>#DIV/0!</v>
      </c>
      <c r="L49" s="70" t="e">
        <f t="shared" si="24"/>
        <v>#DIV/0!</v>
      </c>
      <c r="M49" s="75" t="e">
        <f t="shared" si="25"/>
        <v>#DIV/0!</v>
      </c>
      <c r="N49" s="1"/>
      <c r="O49" s="90"/>
      <c r="P49" s="137" t="s">
        <v>39</v>
      </c>
      <c r="Q49" s="30">
        <f t="shared" si="26"/>
        <v>-2</v>
      </c>
      <c r="R49" s="38"/>
    </row>
    <row r="50" spans="1:18" x14ac:dyDescent="0.3">
      <c r="A50" s="50"/>
      <c r="B50" s="51"/>
      <c r="D50" s="119"/>
      <c r="E50" s="115" t="s">
        <v>16</v>
      </c>
      <c r="F50" s="23"/>
      <c r="G50" s="23"/>
      <c r="H50" s="24" t="e">
        <f t="shared" si="21"/>
        <v>#DIV/0!</v>
      </c>
      <c r="I50" s="33"/>
      <c r="J50" s="21">
        <f t="shared" si="22"/>
        <v>0</v>
      </c>
      <c r="K50" s="24" t="e">
        <f t="shared" si="23"/>
        <v>#DIV/0!</v>
      </c>
      <c r="L50" s="70" t="e">
        <f t="shared" si="24"/>
        <v>#DIV/0!</v>
      </c>
      <c r="M50" s="75" t="e">
        <f t="shared" si="25"/>
        <v>#DIV/0!</v>
      </c>
      <c r="N50" s="1"/>
      <c r="O50" s="90"/>
      <c r="P50" s="137" t="s">
        <v>39</v>
      </c>
      <c r="Q50" s="30">
        <f t="shared" si="26"/>
        <v>-2</v>
      </c>
      <c r="R50" s="38"/>
    </row>
    <row r="51" spans="1:18" x14ac:dyDescent="0.3">
      <c r="A51" s="48"/>
      <c r="B51" s="49"/>
      <c r="D51" s="119"/>
      <c r="E51" s="115" t="s">
        <v>16</v>
      </c>
      <c r="F51" s="23"/>
      <c r="G51" s="23"/>
      <c r="H51" s="24" t="e">
        <f t="shared" si="21"/>
        <v>#DIV/0!</v>
      </c>
      <c r="I51" s="33"/>
      <c r="J51" s="21">
        <f t="shared" si="22"/>
        <v>0</v>
      </c>
      <c r="K51" s="24" t="e">
        <f t="shared" si="23"/>
        <v>#DIV/0!</v>
      </c>
      <c r="L51" s="70" t="e">
        <f t="shared" si="24"/>
        <v>#DIV/0!</v>
      </c>
      <c r="M51" s="75" t="e">
        <f t="shared" si="25"/>
        <v>#DIV/0!</v>
      </c>
      <c r="N51" s="1"/>
      <c r="O51" s="90"/>
      <c r="P51" s="137" t="s">
        <v>39</v>
      </c>
      <c r="Q51" s="30">
        <f t="shared" si="26"/>
        <v>-2</v>
      </c>
      <c r="R51" s="38"/>
    </row>
    <row r="52" spans="1:18" x14ac:dyDescent="0.3">
      <c r="A52" s="64"/>
      <c r="B52" s="65"/>
      <c r="D52" s="119"/>
      <c r="E52" s="115" t="s">
        <v>16</v>
      </c>
      <c r="F52" s="23"/>
      <c r="G52" s="23"/>
      <c r="H52" s="24" t="e">
        <f t="shared" ref="H52:H71" si="27">(F52*100)/G52</f>
        <v>#DIV/0!</v>
      </c>
      <c r="I52" s="33"/>
      <c r="J52" s="21">
        <f t="shared" ref="J52:J71" si="28">F52*I52+IF(N52="Фрибет",(F52*I52-F52)-F52*I52)</f>
        <v>0</v>
      </c>
      <c r="K52" s="24" t="e">
        <f t="shared" ref="K52:K71" si="29">((J52*100)/G52)</f>
        <v>#DIV/0!</v>
      </c>
      <c r="L52" s="70" t="e">
        <f t="shared" ref="L52:L71" si="30">1-M52</f>
        <v>#DIV/0!</v>
      </c>
      <c r="M52" s="75" t="e">
        <f t="shared" ref="M52:M71" si="31">1/I52</f>
        <v>#DIV/0!</v>
      </c>
      <c r="N52" s="1"/>
      <c r="O52" s="90"/>
      <c r="P52" s="137" t="s">
        <v>39</v>
      </c>
      <c r="Q52" s="30">
        <f t="shared" ref="Q52:Q71" si="32">IF(P52="Победа",1)+IF(P52="Поражение",0)+IF(P52="Не ставил",-2)</f>
        <v>-2</v>
      </c>
      <c r="R52" s="38"/>
    </row>
    <row r="53" spans="1:18" x14ac:dyDescent="0.3">
      <c r="A53" s="64"/>
      <c r="B53" s="65"/>
      <c r="D53" s="119"/>
      <c r="E53" s="115" t="s">
        <v>16</v>
      </c>
      <c r="F53" s="23"/>
      <c r="G53" s="23"/>
      <c r="H53" s="24" t="e">
        <f t="shared" si="27"/>
        <v>#DIV/0!</v>
      </c>
      <c r="I53" s="33"/>
      <c r="J53" s="21">
        <f t="shared" si="28"/>
        <v>0</v>
      </c>
      <c r="K53" s="24" t="e">
        <f t="shared" si="29"/>
        <v>#DIV/0!</v>
      </c>
      <c r="L53" s="70" t="e">
        <f t="shared" si="30"/>
        <v>#DIV/0!</v>
      </c>
      <c r="M53" s="75" t="e">
        <f t="shared" si="31"/>
        <v>#DIV/0!</v>
      </c>
      <c r="N53" s="1"/>
      <c r="O53" s="90"/>
      <c r="P53" s="137" t="s">
        <v>39</v>
      </c>
      <c r="Q53" s="30">
        <f t="shared" si="32"/>
        <v>-2</v>
      </c>
      <c r="R53" s="38"/>
    </row>
    <row r="54" spans="1:18" x14ac:dyDescent="0.3">
      <c r="A54" s="64"/>
      <c r="B54" s="65"/>
      <c r="D54" s="119"/>
      <c r="E54" s="115" t="s">
        <v>16</v>
      </c>
      <c r="F54" s="23"/>
      <c r="G54" s="23"/>
      <c r="H54" s="24" t="e">
        <f t="shared" si="27"/>
        <v>#DIV/0!</v>
      </c>
      <c r="I54" s="33"/>
      <c r="J54" s="21">
        <f t="shared" si="28"/>
        <v>0</v>
      </c>
      <c r="K54" s="24" t="e">
        <f t="shared" si="29"/>
        <v>#DIV/0!</v>
      </c>
      <c r="L54" s="70" t="e">
        <f t="shared" si="30"/>
        <v>#DIV/0!</v>
      </c>
      <c r="M54" s="75" t="e">
        <f t="shared" si="31"/>
        <v>#DIV/0!</v>
      </c>
      <c r="N54" s="1"/>
      <c r="O54" s="90"/>
      <c r="P54" s="137" t="s">
        <v>39</v>
      </c>
      <c r="Q54" s="30">
        <f t="shared" si="32"/>
        <v>-2</v>
      </c>
      <c r="R54" s="38"/>
    </row>
    <row r="55" spans="1:18" x14ac:dyDescent="0.3">
      <c r="A55" s="64"/>
      <c r="B55" s="65"/>
      <c r="D55" s="119"/>
      <c r="E55" s="115" t="s">
        <v>16</v>
      </c>
      <c r="F55" s="23"/>
      <c r="G55" s="23"/>
      <c r="H55" s="24" t="e">
        <f t="shared" si="27"/>
        <v>#DIV/0!</v>
      </c>
      <c r="I55" s="33"/>
      <c r="J55" s="21">
        <f t="shared" si="28"/>
        <v>0</v>
      </c>
      <c r="K55" s="24" t="e">
        <f t="shared" si="29"/>
        <v>#DIV/0!</v>
      </c>
      <c r="L55" s="70" t="e">
        <f t="shared" si="30"/>
        <v>#DIV/0!</v>
      </c>
      <c r="M55" s="75" t="e">
        <f t="shared" si="31"/>
        <v>#DIV/0!</v>
      </c>
      <c r="N55" s="1"/>
      <c r="O55" s="90"/>
      <c r="P55" s="137" t="s">
        <v>39</v>
      </c>
      <c r="Q55" s="30">
        <f t="shared" si="32"/>
        <v>-2</v>
      </c>
      <c r="R55" s="38"/>
    </row>
    <row r="56" spans="1:18" x14ac:dyDescent="0.3">
      <c r="A56" s="64"/>
      <c r="B56" s="65"/>
      <c r="D56" s="119"/>
      <c r="E56" s="115" t="s">
        <v>16</v>
      </c>
      <c r="F56" s="23"/>
      <c r="G56" s="23"/>
      <c r="H56" s="24" t="e">
        <f t="shared" si="27"/>
        <v>#DIV/0!</v>
      </c>
      <c r="I56" s="33"/>
      <c r="J56" s="21">
        <f t="shared" si="28"/>
        <v>0</v>
      </c>
      <c r="K56" s="24" t="e">
        <f t="shared" si="29"/>
        <v>#DIV/0!</v>
      </c>
      <c r="L56" s="70" t="e">
        <f t="shared" si="30"/>
        <v>#DIV/0!</v>
      </c>
      <c r="M56" s="75" t="e">
        <f t="shared" si="31"/>
        <v>#DIV/0!</v>
      </c>
      <c r="N56" s="1"/>
      <c r="O56" s="90"/>
      <c r="P56" s="137" t="s">
        <v>39</v>
      </c>
      <c r="Q56" s="30">
        <f t="shared" si="32"/>
        <v>-2</v>
      </c>
      <c r="R56" s="38"/>
    </row>
    <row r="57" spans="1:18" x14ac:dyDescent="0.3">
      <c r="A57" s="64"/>
      <c r="B57" s="65"/>
      <c r="D57" s="119"/>
      <c r="E57" s="115" t="s">
        <v>16</v>
      </c>
      <c r="F57" s="23"/>
      <c r="G57" s="23"/>
      <c r="H57" s="24" t="e">
        <f t="shared" si="27"/>
        <v>#DIV/0!</v>
      </c>
      <c r="I57" s="33"/>
      <c r="J57" s="21">
        <f t="shared" si="28"/>
        <v>0</v>
      </c>
      <c r="K57" s="24" t="e">
        <f t="shared" si="29"/>
        <v>#DIV/0!</v>
      </c>
      <c r="L57" s="70" t="e">
        <f t="shared" si="30"/>
        <v>#DIV/0!</v>
      </c>
      <c r="M57" s="75" t="e">
        <f t="shared" si="31"/>
        <v>#DIV/0!</v>
      </c>
      <c r="N57" s="1"/>
      <c r="O57" s="90"/>
      <c r="P57" s="137" t="s">
        <v>39</v>
      </c>
      <c r="Q57" s="30">
        <f t="shared" si="32"/>
        <v>-2</v>
      </c>
      <c r="R57" s="38"/>
    </row>
    <row r="58" spans="1:18" x14ac:dyDescent="0.3">
      <c r="A58" s="64"/>
      <c r="B58" s="65"/>
      <c r="D58" s="119"/>
      <c r="E58" s="115" t="s">
        <v>16</v>
      </c>
      <c r="F58" s="23"/>
      <c r="G58" s="23"/>
      <c r="H58" s="24" t="e">
        <f t="shared" si="27"/>
        <v>#DIV/0!</v>
      </c>
      <c r="I58" s="33"/>
      <c r="J58" s="21">
        <f t="shared" si="28"/>
        <v>0</v>
      </c>
      <c r="K58" s="24" t="e">
        <f t="shared" si="29"/>
        <v>#DIV/0!</v>
      </c>
      <c r="L58" s="70" t="e">
        <f t="shared" si="30"/>
        <v>#DIV/0!</v>
      </c>
      <c r="M58" s="75" t="e">
        <f t="shared" si="31"/>
        <v>#DIV/0!</v>
      </c>
      <c r="N58" s="1"/>
      <c r="O58" s="90"/>
      <c r="P58" s="137" t="s">
        <v>39</v>
      </c>
      <c r="Q58" s="30">
        <f t="shared" si="32"/>
        <v>-2</v>
      </c>
      <c r="R58" s="38"/>
    </row>
    <row r="59" spans="1:18" x14ac:dyDescent="0.3">
      <c r="A59" s="64"/>
      <c r="B59" s="65"/>
      <c r="D59" s="119"/>
      <c r="E59" s="115" t="s">
        <v>16</v>
      </c>
      <c r="F59" s="23"/>
      <c r="G59" s="23"/>
      <c r="H59" s="24" t="e">
        <f t="shared" si="27"/>
        <v>#DIV/0!</v>
      </c>
      <c r="I59" s="33"/>
      <c r="J59" s="21">
        <f t="shared" si="28"/>
        <v>0</v>
      </c>
      <c r="K59" s="24" t="e">
        <f t="shared" si="29"/>
        <v>#DIV/0!</v>
      </c>
      <c r="L59" s="70" t="e">
        <f t="shared" si="30"/>
        <v>#DIV/0!</v>
      </c>
      <c r="M59" s="75" t="e">
        <f t="shared" si="31"/>
        <v>#DIV/0!</v>
      </c>
      <c r="N59" s="1"/>
      <c r="O59" s="90"/>
      <c r="P59" s="137" t="s">
        <v>39</v>
      </c>
      <c r="Q59" s="30">
        <f t="shared" si="32"/>
        <v>-2</v>
      </c>
      <c r="R59" s="38"/>
    </row>
    <row r="60" spans="1:18" x14ac:dyDescent="0.3">
      <c r="A60" s="64"/>
      <c r="B60" s="65"/>
      <c r="D60" s="119"/>
      <c r="E60" s="115" t="s">
        <v>16</v>
      </c>
      <c r="F60" s="23"/>
      <c r="G60" s="23"/>
      <c r="H60" s="24" t="e">
        <f t="shared" si="27"/>
        <v>#DIV/0!</v>
      </c>
      <c r="I60" s="33"/>
      <c r="J60" s="21">
        <f t="shared" si="28"/>
        <v>0</v>
      </c>
      <c r="K60" s="24" t="e">
        <f t="shared" si="29"/>
        <v>#DIV/0!</v>
      </c>
      <c r="L60" s="70" t="e">
        <f t="shared" si="30"/>
        <v>#DIV/0!</v>
      </c>
      <c r="M60" s="75" t="e">
        <f t="shared" si="31"/>
        <v>#DIV/0!</v>
      </c>
      <c r="N60" s="1"/>
      <c r="O60" s="90"/>
      <c r="P60" s="137" t="s">
        <v>39</v>
      </c>
      <c r="Q60" s="30">
        <f t="shared" si="32"/>
        <v>-2</v>
      </c>
      <c r="R60" s="38"/>
    </row>
    <row r="61" spans="1:18" x14ac:dyDescent="0.3">
      <c r="A61" s="64"/>
      <c r="B61" s="65"/>
      <c r="D61" s="119"/>
      <c r="E61" s="115" t="s">
        <v>16</v>
      </c>
      <c r="F61" s="23"/>
      <c r="G61" s="23"/>
      <c r="H61" s="24" t="e">
        <f t="shared" si="27"/>
        <v>#DIV/0!</v>
      </c>
      <c r="I61" s="33"/>
      <c r="J61" s="21">
        <f t="shared" si="28"/>
        <v>0</v>
      </c>
      <c r="K61" s="24" t="e">
        <f t="shared" si="29"/>
        <v>#DIV/0!</v>
      </c>
      <c r="L61" s="70" t="e">
        <f t="shared" si="30"/>
        <v>#DIV/0!</v>
      </c>
      <c r="M61" s="75" t="e">
        <f t="shared" si="31"/>
        <v>#DIV/0!</v>
      </c>
      <c r="N61" s="1"/>
      <c r="O61" s="90"/>
      <c r="P61" s="137" t="s">
        <v>39</v>
      </c>
      <c r="Q61" s="30">
        <f t="shared" si="32"/>
        <v>-2</v>
      </c>
      <c r="R61" s="38"/>
    </row>
    <row r="62" spans="1:18" x14ac:dyDescent="0.3">
      <c r="A62" s="64"/>
      <c r="B62" s="65"/>
      <c r="D62" s="119"/>
      <c r="E62" s="115" t="s">
        <v>16</v>
      </c>
      <c r="F62" s="23"/>
      <c r="G62" s="23"/>
      <c r="H62" s="24" t="e">
        <f t="shared" si="27"/>
        <v>#DIV/0!</v>
      </c>
      <c r="I62" s="33"/>
      <c r="J62" s="21">
        <f t="shared" si="28"/>
        <v>0</v>
      </c>
      <c r="K62" s="24" t="e">
        <f t="shared" si="29"/>
        <v>#DIV/0!</v>
      </c>
      <c r="L62" s="70" t="e">
        <f t="shared" si="30"/>
        <v>#DIV/0!</v>
      </c>
      <c r="M62" s="75" t="e">
        <f t="shared" si="31"/>
        <v>#DIV/0!</v>
      </c>
      <c r="N62" s="1"/>
      <c r="O62" s="90"/>
      <c r="P62" s="137" t="s">
        <v>39</v>
      </c>
      <c r="Q62" s="30">
        <f t="shared" si="32"/>
        <v>-2</v>
      </c>
      <c r="R62" s="38"/>
    </row>
    <row r="63" spans="1:18" x14ac:dyDescent="0.3">
      <c r="A63" s="64"/>
      <c r="B63" s="65"/>
      <c r="D63" s="119"/>
      <c r="E63" s="115" t="s">
        <v>16</v>
      </c>
      <c r="F63" s="23"/>
      <c r="G63" s="23"/>
      <c r="H63" s="24" t="e">
        <f t="shared" si="27"/>
        <v>#DIV/0!</v>
      </c>
      <c r="I63" s="33"/>
      <c r="J63" s="21">
        <f t="shared" si="28"/>
        <v>0</v>
      </c>
      <c r="K63" s="24" t="e">
        <f t="shared" si="29"/>
        <v>#DIV/0!</v>
      </c>
      <c r="L63" s="70" t="e">
        <f t="shared" si="30"/>
        <v>#DIV/0!</v>
      </c>
      <c r="M63" s="75" t="e">
        <f t="shared" si="31"/>
        <v>#DIV/0!</v>
      </c>
      <c r="N63" s="1"/>
      <c r="O63" s="90"/>
      <c r="P63" s="137" t="s">
        <v>39</v>
      </c>
      <c r="Q63" s="30">
        <f t="shared" si="32"/>
        <v>-2</v>
      </c>
      <c r="R63" s="38"/>
    </row>
    <row r="64" spans="1:18" x14ac:dyDescent="0.3">
      <c r="A64" s="64"/>
      <c r="B64" s="65"/>
      <c r="D64" s="119"/>
      <c r="E64" s="115" t="s">
        <v>16</v>
      </c>
      <c r="F64" s="23"/>
      <c r="G64" s="23"/>
      <c r="H64" s="24" t="e">
        <f t="shared" si="27"/>
        <v>#DIV/0!</v>
      </c>
      <c r="I64" s="33"/>
      <c r="J64" s="21">
        <f t="shared" si="28"/>
        <v>0</v>
      </c>
      <c r="K64" s="24" t="e">
        <f t="shared" si="29"/>
        <v>#DIV/0!</v>
      </c>
      <c r="L64" s="70" t="e">
        <f t="shared" si="30"/>
        <v>#DIV/0!</v>
      </c>
      <c r="M64" s="75" t="e">
        <f t="shared" si="31"/>
        <v>#DIV/0!</v>
      </c>
      <c r="N64" s="1"/>
      <c r="O64" s="90"/>
      <c r="P64" s="137" t="s">
        <v>39</v>
      </c>
      <c r="Q64" s="30">
        <f t="shared" si="32"/>
        <v>-2</v>
      </c>
      <c r="R64" s="38"/>
    </row>
    <row r="65" spans="1:18" x14ac:dyDescent="0.3">
      <c r="A65" s="64"/>
      <c r="B65" s="65"/>
      <c r="D65" s="119"/>
      <c r="E65" s="115" t="s">
        <v>16</v>
      </c>
      <c r="F65" s="23"/>
      <c r="G65" s="23"/>
      <c r="H65" s="24" t="e">
        <f t="shared" si="27"/>
        <v>#DIV/0!</v>
      </c>
      <c r="I65" s="33"/>
      <c r="J65" s="21">
        <f t="shared" si="28"/>
        <v>0</v>
      </c>
      <c r="K65" s="24" t="e">
        <f t="shared" si="29"/>
        <v>#DIV/0!</v>
      </c>
      <c r="L65" s="70" t="e">
        <f t="shared" si="30"/>
        <v>#DIV/0!</v>
      </c>
      <c r="M65" s="75" t="e">
        <f t="shared" si="31"/>
        <v>#DIV/0!</v>
      </c>
      <c r="N65" s="1"/>
      <c r="O65" s="90"/>
      <c r="P65" s="137" t="s">
        <v>39</v>
      </c>
      <c r="Q65" s="30">
        <f t="shared" si="32"/>
        <v>-2</v>
      </c>
      <c r="R65" s="38"/>
    </row>
    <row r="66" spans="1:18" x14ac:dyDescent="0.3">
      <c r="A66" s="64"/>
      <c r="B66" s="65"/>
      <c r="D66" s="119"/>
      <c r="E66" s="115" t="s">
        <v>16</v>
      </c>
      <c r="F66" s="23"/>
      <c r="G66" s="23"/>
      <c r="H66" s="24" t="e">
        <f t="shared" si="27"/>
        <v>#DIV/0!</v>
      </c>
      <c r="I66" s="33"/>
      <c r="J66" s="21">
        <f t="shared" si="28"/>
        <v>0</v>
      </c>
      <c r="K66" s="24" t="e">
        <f t="shared" si="29"/>
        <v>#DIV/0!</v>
      </c>
      <c r="L66" s="70" t="e">
        <f t="shared" si="30"/>
        <v>#DIV/0!</v>
      </c>
      <c r="M66" s="75" t="e">
        <f t="shared" si="31"/>
        <v>#DIV/0!</v>
      </c>
      <c r="N66" s="1"/>
      <c r="O66" s="90"/>
      <c r="P66" s="137" t="s">
        <v>39</v>
      </c>
      <c r="Q66" s="30">
        <f t="shared" si="32"/>
        <v>-2</v>
      </c>
      <c r="R66" s="38"/>
    </row>
    <row r="67" spans="1:18" x14ac:dyDescent="0.3">
      <c r="A67" s="64"/>
      <c r="B67" s="65"/>
      <c r="D67" s="119"/>
      <c r="E67" s="115" t="s">
        <v>16</v>
      </c>
      <c r="F67" s="23"/>
      <c r="G67" s="23"/>
      <c r="H67" s="24" t="e">
        <f t="shared" si="27"/>
        <v>#DIV/0!</v>
      </c>
      <c r="I67" s="33"/>
      <c r="J67" s="21">
        <f t="shared" si="28"/>
        <v>0</v>
      </c>
      <c r="K67" s="24" t="e">
        <f t="shared" si="29"/>
        <v>#DIV/0!</v>
      </c>
      <c r="L67" s="70" t="e">
        <f t="shared" si="30"/>
        <v>#DIV/0!</v>
      </c>
      <c r="M67" s="75" t="e">
        <f t="shared" si="31"/>
        <v>#DIV/0!</v>
      </c>
      <c r="N67" s="1"/>
      <c r="O67" s="90"/>
      <c r="P67" s="137" t="s">
        <v>39</v>
      </c>
      <c r="Q67" s="30">
        <f t="shared" si="32"/>
        <v>-2</v>
      </c>
      <c r="R67" s="38"/>
    </row>
    <row r="68" spans="1:18" x14ac:dyDescent="0.3">
      <c r="A68" s="64"/>
      <c r="B68" s="65"/>
      <c r="D68" s="119"/>
      <c r="E68" s="115" t="s">
        <v>16</v>
      </c>
      <c r="F68" s="23"/>
      <c r="G68" s="23"/>
      <c r="H68" s="24" t="e">
        <f t="shared" si="27"/>
        <v>#DIV/0!</v>
      </c>
      <c r="I68" s="33"/>
      <c r="J68" s="21">
        <f t="shared" si="28"/>
        <v>0</v>
      </c>
      <c r="K68" s="24" t="e">
        <f t="shared" si="29"/>
        <v>#DIV/0!</v>
      </c>
      <c r="L68" s="70" t="e">
        <f t="shared" si="30"/>
        <v>#DIV/0!</v>
      </c>
      <c r="M68" s="75" t="e">
        <f t="shared" si="31"/>
        <v>#DIV/0!</v>
      </c>
      <c r="N68" s="1"/>
      <c r="O68" s="90"/>
      <c r="P68" s="137" t="s">
        <v>39</v>
      </c>
      <c r="Q68" s="30">
        <f t="shared" si="32"/>
        <v>-2</v>
      </c>
      <c r="R68" s="38"/>
    </row>
    <row r="69" spans="1:18" x14ac:dyDescent="0.3">
      <c r="A69" s="64"/>
      <c r="B69" s="65"/>
      <c r="D69" s="119"/>
      <c r="E69" s="115" t="s">
        <v>16</v>
      </c>
      <c r="F69" s="23"/>
      <c r="G69" s="23"/>
      <c r="H69" s="24" t="e">
        <f t="shared" si="27"/>
        <v>#DIV/0!</v>
      </c>
      <c r="I69" s="33"/>
      <c r="J69" s="21">
        <f t="shared" si="28"/>
        <v>0</v>
      </c>
      <c r="K69" s="24" t="e">
        <f t="shared" si="29"/>
        <v>#DIV/0!</v>
      </c>
      <c r="L69" s="70" t="e">
        <f t="shared" si="30"/>
        <v>#DIV/0!</v>
      </c>
      <c r="M69" s="75" t="e">
        <f t="shared" si="31"/>
        <v>#DIV/0!</v>
      </c>
      <c r="N69" s="1"/>
      <c r="O69" s="90"/>
      <c r="P69" s="137" t="s">
        <v>39</v>
      </c>
      <c r="Q69" s="30">
        <f t="shared" si="32"/>
        <v>-2</v>
      </c>
      <c r="R69" s="38"/>
    </row>
    <row r="70" spans="1:18" x14ac:dyDescent="0.3">
      <c r="A70" s="64"/>
      <c r="B70" s="65"/>
      <c r="D70" s="119"/>
      <c r="E70" s="115" t="s">
        <v>16</v>
      </c>
      <c r="F70" s="23"/>
      <c r="G70" s="23"/>
      <c r="H70" s="24" t="e">
        <f t="shared" si="27"/>
        <v>#DIV/0!</v>
      </c>
      <c r="I70" s="33"/>
      <c r="J70" s="21">
        <f t="shared" si="28"/>
        <v>0</v>
      </c>
      <c r="K70" s="24" t="e">
        <f t="shared" si="29"/>
        <v>#DIV/0!</v>
      </c>
      <c r="L70" s="70" t="e">
        <f t="shared" si="30"/>
        <v>#DIV/0!</v>
      </c>
      <c r="M70" s="75" t="e">
        <f t="shared" si="31"/>
        <v>#DIV/0!</v>
      </c>
      <c r="N70" s="1"/>
      <c r="O70" s="90"/>
      <c r="P70" s="137" t="s">
        <v>39</v>
      </c>
      <c r="Q70" s="30">
        <f t="shared" si="32"/>
        <v>-2</v>
      </c>
      <c r="R70" s="38"/>
    </row>
    <row r="71" spans="1:18" ht="15" thickBot="1" x14ac:dyDescent="0.35">
      <c r="A71" s="56"/>
      <c r="B71" s="66"/>
      <c r="D71" s="119"/>
      <c r="E71" s="115" t="s">
        <v>16</v>
      </c>
      <c r="F71" s="23"/>
      <c r="G71" s="23"/>
      <c r="H71" s="24" t="e">
        <f t="shared" si="27"/>
        <v>#DIV/0!</v>
      </c>
      <c r="I71" s="33"/>
      <c r="J71" s="21">
        <f t="shared" si="28"/>
        <v>0</v>
      </c>
      <c r="K71" s="24" t="e">
        <f t="shared" si="29"/>
        <v>#DIV/0!</v>
      </c>
      <c r="L71" s="70" t="e">
        <f t="shared" si="30"/>
        <v>#DIV/0!</v>
      </c>
      <c r="M71" s="75" t="e">
        <f t="shared" si="31"/>
        <v>#DIV/0!</v>
      </c>
      <c r="N71" s="1"/>
      <c r="O71" s="90"/>
      <c r="P71" s="137" t="s">
        <v>39</v>
      </c>
      <c r="Q71" s="30">
        <f t="shared" si="32"/>
        <v>-2</v>
      </c>
      <c r="R71" s="38"/>
    </row>
    <row r="72" spans="1:18" x14ac:dyDescent="0.3">
      <c r="E72"/>
      <c r="F72"/>
      <c r="G72"/>
      <c r="H72"/>
      <c r="I72"/>
      <c r="J72"/>
      <c r="K72"/>
      <c r="L72" s="73"/>
      <c r="M72" s="78"/>
      <c r="O72"/>
      <c r="P72"/>
      <c r="Q72"/>
      <c r="R72"/>
    </row>
    <row r="73" spans="1:18" x14ac:dyDescent="0.3">
      <c r="E73"/>
      <c r="F73"/>
      <c r="G73"/>
      <c r="H73"/>
      <c r="I73"/>
      <c r="J73"/>
      <c r="K73"/>
      <c r="L73" s="73"/>
      <c r="M73" s="78"/>
      <c r="O73"/>
      <c r="P73"/>
      <c r="Q73"/>
      <c r="R73"/>
    </row>
    <row r="74" spans="1:18" x14ac:dyDescent="0.3">
      <c r="E74"/>
      <c r="F74"/>
      <c r="G74"/>
      <c r="H74"/>
      <c r="I74"/>
      <c r="J74"/>
      <c r="K74"/>
      <c r="L74" s="73"/>
      <c r="M74" s="78"/>
      <c r="O74"/>
      <c r="P74"/>
      <c r="Q74"/>
      <c r="R74"/>
    </row>
    <row r="75" spans="1:18" x14ac:dyDescent="0.3">
      <c r="E75"/>
      <c r="F75"/>
      <c r="G75"/>
      <c r="H75"/>
      <c r="I75"/>
      <c r="J75"/>
      <c r="K75"/>
      <c r="L75" s="73"/>
      <c r="M75" s="78"/>
      <c r="O75"/>
      <c r="P75"/>
      <c r="Q75"/>
      <c r="R75"/>
    </row>
    <row r="76" spans="1:18" x14ac:dyDescent="0.3">
      <c r="E76"/>
      <c r="F76"/>
      <c r="G76"/>
      <c r="H76"/>
      <c r="I76"/>
      <c r="J76"/>
      <c r="K76"/>
      <c r="L76" s="73"/>
      <c r="M76" s="78"/>
      <c r="O76"/>
      <c r="P76"/>
      <c r="Q76"/>
      <c r="R76"/>
    </row>
    <row r="77" spans="1:18" x14ac:dyDescent="0.3">
      <c r="E77"/>
      <c r="F77"/>
      <c r="G77"/>
      <c r="H77"/>
      <c r="I77"/>
      <c r="J77"/>
      <c r="K77"/>
      <c r="L77" s="73"/>
      <c r="M77" s="78"/>
      <c r="O77"/>
      <c r="P77"/>
      <c r="Q77"/>
      <c r="R77"/>
    </row>
    <row r="78" spans="1:18" x14ac:dyDescent="0.3">
      <c r="E78"/>
      <c r="F78"/>
      <c r="G78"/>
      <c r="H78"/>
      <c r="I78"/>
      <c r="J78"/>
      <c r="K78"/>
      <c r="L78" s="73"/>
      <c r="M78" s="78"/>
      <c r="O78"/>
      <c r="P78"/>
      <c r="Q78"/>
      <c r="R78"/>
    </row>
    <row r="79" spans="1:18" x14ac:dyDescent="0.3">
      <c r="E79"/>
      <c r="F79"/>
      <c r="G79"/>
      <c r="H79"/>
      <c r="I79"/>
      <c r="J79"/>
      <c r="K79"/>
      <c r="L79" s="73"/>
      <c r="M79" s="78"/>
      <c r="O79"/>
      <c r="P79"/>
      <c r="Q79"/>
      <c r="R79"/>
    </row>
    <row r="80" spans="1:18" x14ac:dyDescent="0.3">
      <c r="E80"/>
      <c r="F80"/>
      <c r="G80"/>
      <c r="H80"/>
      <c r="I80"/>
      <c r="J80"/>
      <c r="K80"/>
      <c r="L80" s="73"/>
      <c r="M80" s="78"/>
      <c r="O80"/>
      <c r="P80"/>
      <c r="Q80"/>
      <c r="R80"/>
    </row>
    <row r="81" spans="12:13" customFormat="1" x14ac:dyDescent="0.3">
      <c r="L81" s="73"/>
      <c r="M81" s="78"/>
    </row>
    <row r="82" spans="12:13" customFormat="1" x14ac:dyDescent="0.3">
      <c r="L82" s="73"/>
      <c r="M82" s="78"/>
    </row>
    <row r="83" spans="12:13" customFormat="1" x14ac:dyDescent="0.3">
      <c r="L83" s="73"/>
      <c r="M83" s="78"/>
    </row>
    <row r="84" spans="12:13" customFormat="1" x14ac:dyDescent="0.3">
      <c r="L84" s="73"/>
      <c r="M84" s="78"/>
    </row>
    <row r="85" spans="12:13" customFormat="1" x14ac:dyDescent="0.3">
      <c r="L85" s="73"/>
      <c r="M85" s="78"/>
    </row>
    <row r="86" spans="12:13" customFormat="1" x14ac:dyDescent="0.3">
      <c r="L86" s="73"/>
      <c r="M86" s="78"/>
    </row>
    <row r="87" spans="12:13" customFormat="1" x14ac:dyDescent="0.3">
      <c r="L87" s="73"/>
      <c r="M87" s="78"/>
    </row>
    <row r="88" spans="12:13" customFormat="1" x14ac:dyDescent="0.3">
      <c r="L88" s="73"/>
      <c r="M88" s="78"/>
    </row>
    <row r="89" spans="12:13" customFormat="1" x14ac:dyDescent="0.3">
      <c r="L89" s="73"/>
      <c r="M89" s="78"/>
    </row>
    <row r="90" spans="12:13" customFormat="1" x14ac:dyDescent="0.3">
      <c r="L90" s="73"/>
      <c r="M90" s="78"/>
    </row>
    <row r="91" spans="12:13" customFormat="1" x14ac:dyDescent="0.3">
      <c r="L91" s="73"/>
      <c r="M91" s="78"/>
    </row>
    <row r="92" spans="12:13" customFormat="1" x14ac:dyDescent="0.3">
      <c r="L92" s="73"/>
      <c r="M92" s="78"/>
    </row>
    <row r="93" spans="12:13" customFormat="1" x14ac:dyDescent="0.3">
      <c r="L93" s="73"/>
      <c r="M93" s="78"/>
    </row>
    <row r="94" spans="12:13" customFormat="1" x14ac:dyDescent="0.3">
      <c r="L94" s="73"/>
      <c r="M94" s="78"/>
    </row>
    <row r="95" spans="12:13" customFormat="1" x14ac:dyDescent="0.3">
      <c r="L95" s="73"/>
      <c r="M95" s="78"/>
    </row>
    <row r="96" spans="12:13" customFormat="1" x14ac:dyDescent="0.3">
      <c r="L96" s="73"/>
      <c r="M96" s="78"/>
    </row>
    <row r="97" spans="12:13" customFormat="1" x14ac:dyDescent="0.3">
      <c r="L97" s="73"/>
      <c r="M97" s="78"/>
    </row>
    <row r="98" spans="12:13" customFormat="1" x14ac:dyDescent="0.3">
      <c r="L98" s="73"/>
      <c r="M98" s="78"/>
    </row>
    <row r="99" spans="12:13" customFormat="1" x14ac:dyDescent="0.3">
      <c r="L99" s="73"/>
      <c r="M99" s="78"/>
    </row>
    <row r="100" spans="12:13" customFormat="1" x14ac:dyDescent="0.3">
      <c r="L100" s="73"/>
      <c r="M100" s="78"/>
    </row>
    <row r="101" spans="12:13" customFormat="1" x14ac:dyDescent="0.3">
      <c r="L101" s="73"/>
      <c r="M101" s="78"/>
    </row>
    <row r="102" spans="12:13" customFormat="1" x14ac:dyDescent="0.3">
      <c r="L102" s="73"/>
      <c r="M102" s="78"/>
    </row>
    <row r="103" spans="12:13" customFormat="1" x14ac:dyDescent="0.3">
      <c r="L103" s="73"/>
      <c r="M103" s="78"/>
    </row>
    <row r="104" spans="12:13" customFormat="1" x14ac:dyDescent="0.3">
      <c r="L104" s="73"/>
      <c r="M104" s="78"/>
    </row>
    <row r="105" spans="12:13" customFormat="1" x14ac:dyDescent="0.3">
      <c r="L105" s="73"/>
      <c r="M105" s="78"/>
    </row>
    <row r="106" spans="12:13" customFormat="1" x14ac:dyDescent="0.3">
      <c r="L106" s="73"/>
      <c r="M106" s="78"/>
    </row>
    <row r="107" spans="12:13" customFormat="1" x14ac:dyDescent="0.3">
      <c r="L107" s="73"/>
      <c r="M107" s="78"/>
    </row>
    <row r="108" spans="12:13" customFormat="1" x14ac:dyDescent="0.3">
      <c r="L108" s="73"/>
      <c r="M108" s="78"/>
    </row>
    <row r="109" spans="12:13" customFormat="1" x14ac:dyDescent="0.3">
      <c r="L109" s="73"/>
      <c r="M109" s="78"/>
    </row>
    <row r="110" spans="12:13" customFormat="1" x14ac:dyDescent="0.3">
      <c r="L110" s="73"/>
      <c r="M110" s="78"/>
    </row>
    <row r="111" spans="12:13" customFormat="1" x14ac:dyDescent="0.3">
      <c r="L111" s="73"/>
      <c r="M111" s="78"/>
    </row>
    <row r="112" spans="12:13" customFormat="1" x14ac:dyDescent="0.3">
      <c r="L112" s="73"/>
      <c r="M112" s="78"/>
    </row>
    <row r="113" spans="12:13" customFormat="1" x14ac:dyDescent="0.3">
      <c r="L113" s="73"/>
      <c r="M113" s="78"/>
    </row>
    <row r="114" spans="12:13" customFormat="1" x14ac:dyDescent="0.3">
      <c r="L114" s="73"/>
      <c r="M114" s="78"/>
    </row>
    <row r="115" spans="12:13" customFormat="1" x14ac:dyDescent="0.3">
      <c r="L115" s="73"/>
      <c r="M115" s="78"/>
    </row>
    <row r="116" spans="12:13" customFormat="1" x14ac:dyDescent="0.3">
      <c r="L116" s="73"/>
      <c r="M116" s="78"/>
    </row>
    <row r="117" spans="12:13" customFormat="1" x14ac:dyDescent="0.3">
      <c r="L117" s="73"/>
      <c r="M117" s="78"/>
    </row>
    <row r="118" spans="12:13" customFormat="1" x14ac:dyDescent="0.3">
      <c r="L118" s="73"/>
      <c r="M118" s="78"/>
    </row>
    <row r="119" spans="12:13" customFormat="1" x14ac:dyDescent="0.3">
      <c r="L119" s="73"/>
      <c r="M119" s="78"/>
    </row>
    <row r="120" spans="12:13" customFormat="1" x14ac:dyDescent="0.3">
      <c r="L120" s="73"/>
      <c r="M120" s="78"/>
    </row>
    <row r="121" spans="12:13" customFormat="1" x14ac:dyDescent="0.3">
      <c r="L121" s="73"/>
      <c r="M121" s="78"/>
    </row>
    <row r="122" spans="12:13" customFormat="1" x14ac:dyDescent="0.3">
      <c r="L122" s="73"/>
      <c r="M122" s="78"/>
    </row>
    <row r="123" spans="12:13" customFormat="1" x14ac:dyDescent="0.3">
      <c r="L123" s="73"/>
      <c r="M123" s="78"/>
    </row>
    <row r="124" spans="12:13" customFormat="1" x14ac:dyDescent="0.3">
      <c r="L124" s="73"/>
      <c r="M124" s="78"/>
    </row>
    <row r="125" spans="12:13" customFormat="1" x14ac:dyDescent="0.3">
      <c r="L125" s="73"/>
      <c r="M125" s="78"/>
    </row>
    <row r="126" spans="12:13" customFormat="1" x14ac:dyDescent="0.3">
      <c r="L126" s="73"/>
      <c r="M126" s="78"/>
    </row>
    <row r="127" spans="12:13" customFormat="1" x14ac:dyDescent="0.3">
      <c r="L127" s="73"/>
      <c r="M127" s="78"/>
    </row>
    <row r="128" spans="12:13" customFormat="1" x14ac:dyDescent="0.3">
      <c r="L128" s="73"/>
      <c r="M128" s="78"/>
    </row>
    <row r="129" spans="12:13" customFormat="1" x14ac:dyDescent="0.3">
      <c r="L129" s="73"/>
      <c r="M129" s="78"/>
    </row>
    <row r="130" spans="12:13" customFormat="1" x14ac:dyDescent="0.3">
      <c r="L130" s="73"/>
      <c r="M130" s="78"/>
    </row>
    <row r="131" spans="12:13" customFormat="1" x14ac:dyDescent="0.3">
      <c r="L131" s="73"/>
      <c r="M131" s="78"/>
    </row>
    <row r="132" spans="12:13" customFormat="1" x14ac:dyDescent="0.3">
      <c r="L132" s="73"/>
      <c r="M132" s="78"/>
    </row>
    <row r="133" spans="12:13" customFormat="1" x14ac:dyDescent="0.3">
      <c r="L133" s="73"/>
      <c r="M133" s="78"/>
    </row>
    <row r="134" spans="12:13" customFormat="1" x14ac:dyDescent="0.3">
      <c r="L134" s="73"/>
      <c r="M134" s="78"/>
    </row>
    <row r="135" spans="12:13" customFormat="1" x14ac:dyDescent="0.3">
      <c r="L135" s="73"/>
      <c r="M135" s="78"/>
    </row>
    <row r="136" spans="12:13" customFormat="1" x14ac:dyDescent="0.3">
      <c r="L136" s="73"/>
      <c r="M136" s="78"/>
    </row>
    <row r="137" spans="12:13" customFormat="1" x14ac:dyDescent="0.3">
      <c r="L137" s="73"/>
      <c r="M137" s="78"/>
    </row>
    <row r="138" spans="12:13" customFormat="1" x14ac:dyDescent="0.3">
      <c r="L138" s="73"/>
      <c r="M138" s="78"/>
    </row>
    <row r="139" spans="12:13" customFormat="1" x14ac:dyDescent="0.3">
      <c r="L139" s="73"/>
      <c r="M139" s="78"/>
    </row>
    <row r="140" spans="12:13" customFormat="1" x14ac:dyDescent="0.3">
      <c r="L140" s="73"/>
      <c r="M140" s="78"/>
    </row>
    <row r="141" spans="12:13" customFormat="1" x14ac:dyDescent="0.3">
      <c r="L141" s="73"/>
      <c r="M141" s="78"/>
    </row>
    <row r="142" spans="12:13" customFormat="1" x14ac:dyDescent="0.3">
      <c r="L142" s="73"/>
      <c r="M142" s="78"/>
    </row>
    <row r="143" spans="12:13" customFormat="1" x14ac:dyDescent="0.3">
      <c r="L143" s="73"/>
      <c r="M143" s="78"/>
    </row>
    <row r="144" spans="12:13" customFormat="1" x14ac:dyDescent="0.3">
      <c r="L144" s="73"/>
      <c r="M144" s="78"/>
    </row>
    <row r="145" spans="12:13" customFormat="1" x14ac:dyDescent="0.3">
      <c r="L145" s="73"/>
      <c r="M145" s="78"/>
    </row>
    <row r="146" spans="12:13" customFormat="1" x14ac:dyDescent="0.3">
      <c r="L146" s="73"/>
      <c r="M146" s="78"/>
    </row>
    <row r="147" spans="12:13" customFormat="1" x14ac:dyDescent="0.3">
      <c r="L147" s="73"/>
      <c r="M147" s="78"/>
    </row>
    <row r="148" spans="12:13" customFormat="1" x14ac:dyDescent="0.3">
      <c r="L148" s="73"/>
      <c r="M148" s="78"/>
    </row>
    <row r="149" spans="12:13" customFormat="1" x14ac:dyDescent="0.3">
      <c r="L149" s="73"/>
      <c r="M149" s="78"/>
    </row>
    <row r="150" spans="12:13" customFormat="1" x14ac:dyDescent="0.3">
      <c r="L150" s="73"/>
      <c r="M150" s="78"/>
    </row>
    <row r="151" spans="12:13" customFormat="1" x14ac:dyDescent="0.3">
      <c r="L151" s="73"/>
      <c r="M151" s="78"/>
    </row>
    <row r="152" spans="12:13" customFormat="1" x14ac:dyDescent="0.3">
      <c r="L152" s="73"/>
      <c r="M152" s="78"/>
    </row>
    <row r="153" spans="12:13" customFormat="1" x14ac:dyDescent="0.3">
      <c r="L153" s="73"/>
      <c r="M153" s="78"/>
    </row>
    <row r="154" spans="12:13" customFormat="1" x14ac:dyDescent="0.3">
      <c r="L154" s="73"/>
      <c r="M154" s="78"/>
    </row>
    <row r="155" spans="12:13" customFormat="1" x14ac:dyDescent="0.3">
      <c r="L155" s="73"/>
      <c r="M155" s="78"/>
    </row>
    <row r="156" spans="12:13" customFormat="1" x14ac:dyDescent="0.3">
      <c r="L156" s="73"/>
      <c r="M156" s="78"/>
    </row>
    <row r="157" spans="12:13" customFormat="1" x14ac:dyDescent="0.3">
      <c r="L157" s="73"/>
      <c r="M157" s="78"/>
    </row>
    <row r="158" spans="12:13" customFormat="1" x14ac:dyDescent="0.3">
      <c r="L158" s="73"/>
      <c r="M158" s="78"/>
    </row>
    <row r="159" spans="12:13" customFormat="1" x14ac:dyDescent="0.3">
      <c r="L159" s="73"/>
      <c r="M159" s="78"/>
    </row>
    <row r="160" spans="12:13" customFormat="1" x14ac:dyDescent="0.3">
      <c r="L160" s="73"/>
      <c r="M160" s="78"/>
    </row>
    <row r="161" spans="12:13" customFormat="1" x14ac:dyDescent="0.3">
      <c r="L161" s="73"/>
      <c r="M161" s="78"/>
    </row>
    <row r="162" spans="12:13" customFormat="1" x14ac:dyDescent="0.3">
      <c r="L162" s="73"/>
      <c r="M162" s="78"/>
    </row>
    <row r="163" spans="12:13" customFormat="1" x14ac:dyDescent="0.3">
      <c r="L163" s="73"/>
      <c r="M163" s="78"/>
    </row>
    <row r="164" spans="12:13" customFormat="1" x14ac:dyDescent="0.3">
      <c r="L164" s="73"/>
      <c r="M164" s="78"/>
    </row>
    <row r="165" spans="12:13" customFormat="1" x14ac:dyDescent="0.3">
      <c r="L165" s="73"/>
      <c r="M165" s="78"/>
    </row>
    <row r="166" spans="12:13" customFormat="1" x14ac:dyDescent="0.3">
      <c r="L166" s="73"/>
      <c r="M166" s="78"/>
    </row>
    <row r="167" spans="12:13" customFormat="1" x14ac:dyDescent="0.3">
      <c r="L167" s="73"/>
      <c r="M167" s="78"/>
    </row>
    <row r="168" spans="12:13" customFormat="1" x14ac:dyDescent="0.3">
      <c r="L168" s="73"/>
      <c r="M168" s="78"/>
    </row>
    <row r="169" spans="12:13" customFormat="1" x14ac:dyDescent="0.3">
      <c r="L169" s="73"/>
      <c r="M169" s="78"/>
    </row>
    <row r="170" spans="12:13" customFormat="1" x14ac:dyDescent="0.3">
      <c r="L170" s="73"/>
      <c r="M170" s="78"/>
    </row>
    <row r="171" spans="12:13" customFormat="1" x14ac:dyDescent="0.3">
      <c r="L171" s="73"/>
      <c r="M171" s="78"/>
    </row>
    <row r="172" spans="12:13" customFormat="1" x14ac:dyDescent="0.3">
      <c r="L172" s="73"/>
      <c r="M172" s="78"/>
    </row>
    <row r="173" spans="12:13" customFormat="1" x14ac:dyDescent="0.3">
      <c r="L173" s="73"/>
      <c r="M173" s="78"/>
    </row>
    <row r="174" spans="12:13" customFormat="1" x14ac:dyDescent="0.3">
      <c r="L174" s="73"/>
      <c r="M174" s="78"/>
    </row>
    <row r="175" spans="12:13" customFormat="1" x14ac:dyDescent="0.3">
      <c r="L175" s="73"/>
      <c r="M175" s="78"/>
    </row>
    <row r="176" spans="12:13" customFormat="1" x14ac:dyDescent="0.3">
      <c r="L176" s="73"/>
      <c r="M176" s="78"/>
    </row>
    <row r="177" spans="12:13" customFormat="1" x14ac:dyDescent="0.3">
      <c r="L177" s="73"/>
      <c r="M177" s="78"/>
    </row>
    <row r="178" spans="12:13" customFormat="1" x14ac:dyDescent="0.3">
      <c r="L178" s="73"/>
      <c r="M178" s="78"/>
    </row>
    <row r="179" spans="12:13" customFormat="1" x14ac:dyDescent="0.3">
      <c r="L179" s="73"/>
      <c r="M179" s="78"/>
    </row>
    <row r="180" spans="12:13" customFormat="1" x14ac:dyDescent="0.3">
      <c r="L180" s="73"/>
      <c r="M180" s="78"/>
    </row>
    <row r="181" spans="12:13" customFormat="1" x14ac:dyDescent="0.3">
      <c r="L181" s="73"/>
      <c r="M181" s="78"/>
    </row>
    <row r="182" spans="12:13" customFormat="1" x14ac:dyDescent="0.3">
      <c r="L182" s="73"/>
      <c r="M182" s="78"/>
    </row>
    <row r="183" spans="12:13" customFormat="1" x14ac:dyDescent="0.3">
      <c r="L183" s="73"/>
      <c r="M183" s="78"/>
    </row>
    <row r="184" spans="12:13" customFormat="1" x14ac:dyDescent="0.3">
      <c r="L184" s="73"/>
      <c r="M184" s="78"/>
    </row>
    <row r="185" spans="12:13" customFormat="1" x14ac:dyDescent="0.3">
      <c r="L185" s="73"/>
      <c r="M185" s="78"/>
    </row>
    <row r="186" spans="12:13" customFormat="1" x14ac:dyDescent="0.3">
      <c r="L186" s="73"/>
      <c r="M186" s="78"/>
    </row>
    <row r="187" spans="12:13" customFormat="1" x14ac:dyDescent="0.3">
      <c r="L187" s="73"/>
      <c r="M187" s="78"/>
    </row>
    <row r="188" spans="12:13" customFormat="1" x14ac:dyDescent="0.3">
      <c r="L188" s="73"/>
      <c r="M188" s="78"/>
    </row>
    <row r="189" spans="12:13" customFormat="1" x14ac:dyDescent="0.3">
      <c r="L189" s="73"/>
      <c r="M189" s="78"/>
    </row>
    <row r="190" spans="12:13" customFormat="1" x14ac:dyDescent="0.3">
      <c r="L190" s="73"/>
      <c r="M190" s="78"/>
    </row>
    <row r="191" spans="12:13" customFormat="1" x14ac:dyDescent="0.3">
      <c r="L191" s="73"/>
      <c r="M191" s="78"/>
    </row>
    <row r="192" spans="12:13" customFormat="1" x14ac:dyDescent="0.3">
      <c r="L192" s="73"/>
      <c r="M192" s="78"/>
    </row>
    <row r="193" spans="12:13" customFormat="1" x14ac:dyDescent="0.3">
      <c r="L193" s="73"/>
      <c r="M193" s="78"/>
    </row>
    <row r="194" spans="12:13" customFormat="1" x14ac:dyDescent="0.3">
      <c r="L194" s="73"/>
      <c r="M194" s="78"/>
    </row>
    <row r="195" spans="12:13" customFormat="1" x14ac:dyDescent="0.3">
      <c r="L195" s="73"/>
      <c r="M195" s="78"/>
    </row>
    <row r="196" spans="12:13" customFormat="1" x14ac:dyDescent="0.3">
      <c r="L196" s="73"/>
      <c r="M196" s="78"/>
    </row>
    <row r="197" spans="12:13" customFormat="1" x14ac:dyDescent="0.3">
      <c r="L197" s="73"/>
      <c r="M197" s="78"/>
    </row>
    <row r="198" spans="12:13" customFormat="1" x14ac:dyDescent="0.3">
      <c r="L198" s="73"/>
      <c r="M198" s="78"/>
    </row>
    <row r="199" spans="12:13" customFormat="1" x14ac:dyDescent="0.3">
      <c r="L199" s="73"/>
      <c r="M199" s="78"/>
    </row>
    <row r="200" spans="12:13" customFormat="1" x14ac:dyDescent="0.3">
      <c r="L200" s="73"/>
      <c r="M200" s="78"/>
    </row>
    <row r="201" spans="12:13" customFormat="1" x14ac:dyDescent="0.3">
      <c r="L201" s="73"/>
      <c r="M201" s="78"/>
    </row>
  </sheetData>
  <mergeCells count="41">
    <mergeCell ref="AL27:AM27"/>
    <mergeCell ref="AL28:AM28"/>
    <mergeCell ref="AO21:AS21"/>
    <mergeCell ref="AB4:AC4"/>
    <mergeCell ref="AD4:AE4"/>
    <mergeCell ref="Z2:Z3"/>
    <mergeCell ref="AA2:AA3"/>
    <mergeCell ref="AB2:AC3"/>
    <mergeCell ref="AD2:AE3"/>
    <mergeCell ref="AQ2:AR3"/>
    <mergeCell ref="Z1:AH1"/>
    <mergeCell ref="AO13:AQ13"/>
    <mergeCell ref="AT12:AU12"/>
    <mergeCell ref="AT13:AU13"/>
    <mergeCell ref="AF2:AF3"/>
    <mergeCell ref="AG2:AG3"/>
    <mergeCell ref="AH2:AH3"/>
    <mergeCell ref="AI2:AI3"/>
    <mergeCell ref="AM4:AN4"/>
    <mergeCell ref="AK2:AL3"/>
    <mergeCell ref="AK4:AL4"/>
    <mergeCell ref="AS4:AT4"/>
    <mergeCell ref="AQ4:AR4"/>
    <mergeCell ref="AO4:AP4"/>
    <mergeCell ref="AM2:AN3"/>
    <mergeCell ref="AO2:AP3"/>
    <mergeCell ref="AW2:AW3"/>
    <mergeCell ref="AX2:AX3"/>
    <mergeCell ref="AK1:AX1"/>
    <mergeCell ref="AO11:AV11"/>
    <mergeCell ref="AO12:AQ12"/>
    <mergeCell ref="AS2:AT3"/>
    <mergeCell ref="AU2:AU3"/>
    <mergeCell ref="AV2:AV3"/>
    <mergeCell ref="AO9:AP9"/>
    <mergeCell ref="AQ9:AR9"/>
    <mergeCell ref="AS9:AT9"/>
    <mergeCell ref="AO8:AP8"/>
    <mergeCell ref="AQ8:AR8"/>
    <mergeCell ref="AS8:AT8"/>
    <mergeCell ref="AO7:AT7"/>
  </mergeCells>
  <conditionalFormatting sqref="L26:L71">
    <cfRule type="cellIs" dxfId="108" priority="16" operator="greaterThanOrEqual">
      <formula>95%</formula>
    </cfRule>
    <cfRule type="cellIs" dxfId="107" priority="18" operator="greaterThanOrEqual">
      <formula>90%</formula>
    </cfRule>
    <cfRule type="cellIs" dxfId="106" priority="20" operator="greaterThanOrEqual">
      <formula>85%</formula>
    </cfRule>
  </conditionalFormatting>
  <conditionalFormatting sqref="M26:M71">
    <cfRule type="cellIs" dxfId="105" priority="15" operator="greaterThanOrEqual">
      <formula>95%</formula>
    </cfRule>
    <cfRule type="cellIs" dxfId="104" priority="19" operator="greaterThanOrEqual">
      <formula>90%</formula>
    </cfRule>
    <cfRule type="cellIs" dxfId="103" priority="23" operator="greaterThanOrEqual">
      <formula>85%</formula>
    </cfRule>
  </conditionalFormatting>
  <conditionalFormatting sqref="U2">
    <cfRule type="iconSet" priority="10">
      <iconSet iconSet="3Arrows">
        <cfvo type="percent" val="0"/>
        <cfvo type="num" val="$V$2"/>
        <cfvo type="num" val="$V$2" gte="0"/>
      </iconSet>
    </cfRule>
  </conditionalFormatting>
  <conditionalFormatting sqref="V2">
    <cfRule type="iconSet" priority="9">
      <iconSet iconSet="3Arrows">
        <cfvo type="percent" val="0"/>
        <cfvo type="num" val="$U$2"/>
        <cfvo type="num" val="$U$2" gte="0"/>
      </iconSet>
    </cfRule>
  </conditionalFormatting>
  <conditionalFormatting sqref="D26:R71 D2:D25">
    <cfRule type="expression" dxfId="102" priority="11">
      <formula>$Q2:$Q26=0</formula>
    </cfRule>
    <cfRule type="expression" dxfId="101" priority="12">
      <formula>$Q2:$Q26=1</formula>
    </cfRule>
  </conditionalFormatting>
  <conditionalFormatting sqref="L2:L25">
    <cfRule type="cellIs" dxfId="100" priority="4" operator="greaterThanOrEqual">
      <formula>95%</formula>
    </cfRule>
    <cfRule type="cellIs" dxfId="99" priority="5" operator="greaterThanOrEqual">
      <formula>90%</formula>
    </cfRule>
    <cfRule type="cellIs" dxfId="98" priority="7" operator="greaterThanOrEqual">
      <formula>85%</formula>
    </cfRule>
  </conditionalFormatting>
  <conditionalFormatting sqref="E2:R25">
    <cfRule type="expression" dxfId="97" priority="1">
      <formula>$Q2:$Q26=0</formula>
    </cfRule>
    <cfRule type="expression" dxfId="96" priority="2">
      <formula>$Q2:$Q26=1</formula>
    </cfRule>
  </conditionalFormatting>
  <conditionalFormatting sqref="M2:M25">
    <cfRule type="cellIs" dxfId="95" priority="3" operator="greaterThanOrEqual">
      <formula>95%</formula>
    </cfRule>
    <cfRule type="cellIs" dxfId="94" priority="6" operator="greaterThanOrEqual">
      <formula>90%</formula>
    </cfRule>
    <cfRule type="cellIs" dxfId="93" priority="8" operator="greaterThanOrEqual">
      <formula>85%</formula>
    </cfRule>
  </conditionalFormatting>
  <dataValidations count="5">
    <dataValidation type="list" allowBlank="1" showInputMessage="1" showErrorMessage="1" sqref="AO12:AQ12 O2:O71" xr:uid="{00000000-0002-0000-0000-000000000000}">
      <formula1>ВидСпортаЧемпионат</formula1>
    </dataValidation>
    <dataValidation type="list" allowBlank="1" showInputMessage="1" showErrorMessage="1" sqref="D2" xr:uid="{5B8FAC96-C2DC-421C-8DE9-CCE03BDFB394}">
      <formula1>Ставка</formula1>
    </dataValidation>
    <dataValidation type="list" allowBlank="1" showInputMessage="1" showErrorMessage="1" sqref="E2:E25" xr:uid="{79C6EF6E-921E-4355-951E-B2BDB13913F5}">
      <formula1>ИдеяСтавки</formula1>
    </dataValidation>
    <dataValidation type="list" allowBlank="1" showInputMessage="1" showErrorMessage="1" sqref="N2:N25" xr:uid="{7A22D6CF-100F-4646-8A5C-73BE6D881279}">
      <formula1>ВидСтавки</formula1>
    </dataValidation>
    <dataValidation type="list" allowBlank="1" showInputMessage="1" showErrorMessage="1" sqref="P2:P25" xr:uid="{3609BC68-2CB3-4F9F-823A-D490790D0A90}">
      <formula1>Итог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1000000}">
          <x14:formula1>
            <xm:f>Мастерская!$E$1:$E$3</xm:f>
          </x14:formula1>
          <xm:sqref>P202:P1048576 P26:P71</xm:sqref>
        </x14:dataValidation>
        <x14:dataValidation type="list" allowBlank="1" showInputMessage="1" showErrorMessage="1" xr:uid="{00000000-0002-0000-0000-000002000000}">
          <x14:formula1>
            <xm:f>Мастерская!$A$1:$A$6</xm:f>
          </x14:formula1>
          <xm:sqref>E26:E71</xm:sqref>
        </x14:dataValidation>
        <x14:dataValidation type="list" allowBlank="1" showInputMessage="1" showErrorMessage="1" xr:uid="{00000000-0002-0000-0000-000003000000}">
          <x14:formula1>
            <xm:f>Мастерская!$C$1:$C$3</xm:f>
          </x14:formula1>
          <xm:sqref>N202:N1048576 N26:N71</xm:sqref>
        </x14:dataValidation>
        <x14:dataValidation type="list" allowBlank="1" showInputMessage="1" showErrorMessage="1" xr:uid="{00000000-0002-0000-0000-000005000000}">
          <x14:formula1>
            <xm:f>Мастерская!$I:$I</xm:f>
          </x14:formula1>
          <xm:sqref>O202:O1048576</xm:sqref>
        </x14:dataValidation>
        <x14:dataValidation type="list" allowBlank="1" showInputMessage="1" showErrorMessage="1" xr:uid="{00000000-0002-0000-0000-000006000000}">
          <x14:formula1>
            <xm:f>Мастерская!$A:$A</xm:f>
          </x14:formula1>
          <xm:sqref>E202:E1048576</xm:sqref>
        </x14:dataValidation>
        <x14:dataValidation type="list" allowBlank="1" showInputMessage="1" showErrorMessage="1" xr:uid="{619870C0-3952-41E4-AA75-7CB7529A9304}">
          <x14:formula1>
            <xm:f>Мастерская!$B$1:$B$23</xm:f>
          </x14:formula1>
          <xm:sqref>D3:D71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AX201"/>
  <sheetViews>
    <sheetView zoomScale="70" zoomScaleNormal="70" workbookViewId="0">
      <selection activeCell="A2" sqref="A2"/>
    </sheetView>
  </sheetViews>
  <sheetFormatPr defaultRowHeight="14.4" x14ac:dyDescent="0.3"/>
  <cols>
    <col min="1" max="1" width="12.109375" customWidth="1"/>
    <col min="2" max="2" width="12.6640625" customWidth="1"/>
    <col min="4" max="4" width="31.77734375" customWidth="1"/>
    <col min="5" max="5" width="18.6640625" style="20" customWidth="1"/>
    <col min="6" max="6" width="14.109375" style="17" customWidth="1"/>
    <col min="7" max="7" width="14.6640625" style="17" customWidth="1"/>
    <col min="8" max="8" width="14.88671875" style="17" customWidth="1"/>
    <col min="9" max="9" width="18" style="17" customWidth="1"/>
    <col min="10" max="10" width="20.33203125" style="17" customWidth="1"/>
    <col min="11" max="11" width="21.33203125" style="17" customWidth="1"/>
    <col min="12" max="12" width="23.109375" style="74" customWidth="1"/>
    <col min="13" max="13" width="20" style="79" customWidth="1"/>
    <col min="14" max="14" width="13" customWidth="1"/>
    <col min="15" max="15" width="29.33203125" style="13" customWidth="1"/>
    <col min="16" max="16" width="12.5546875" style="20" customWidth="1"/>
    <col min="17" max="17" width="19.109375" style="17" customWidth="1"/>
    <col min="18" max="18" width="19.44140625" style="32" customWidth="1"/>
    <col min="19" max="19" width="10.5546875" customWidth="1"/>
    <col min="20" max="20" width="9.109375" customWidth="1"/>
    <col min="21" max="21" width="9.44140625" customWidth="1"/>
    <col min="22" max="22" width="10.6640625" customWidth="1"/>
    <col min="23" max="23" width="9.6640625" customWidth="1"/>
    <col min="24" max="24" width="15.33203125" customWidth="1"/>
    <col min="34" max="34" width="13.88671875" customWidth="1"/>
    <col min="35" max="35" width="30.88671875" customWidth="1"/>
    <col min="37" max="37" width="8.88671875" customWidth="1"/>
    <col min="38" max="38" width="13.33203125" customWidth="1"/>
    <col min="39" max="39" width="15.88671875" customWidth="1"/>
    <col min="41" max="41" width="20.5546875" customWidth="1"/>
    <col min="42" max="42" width="27.109375" customWidth="1"/>
    <col min="43" max="43" width="29" customWidth="1"/>
    <col min="44" max="44" width="36.6640625" customWidth="1"/>
    <col min="45" max="45" width="30.109375" customWidth="1"/>
    <col min="46" max="46" width="22" customWidth="1"/>
    <col min="47" max="47" width="17" customWidth="1"/>
    <col min="48" max="48" width="22.44140625" customWidth="1"/>
    <col min="49" max="49" width="15.44140625" customWidth="1"/>
    <col min="50" max="50" width="14.33203125" customWidth="1"/>
  </cols>
  <sheetData>
    <row r="1" spans="1:50" ht="78" customHeight="1" thickTop="1" thickBot="1" x14ac:dyDescent="0.35">
      <c r="A1" s="46" t="s">
        <v>0</v>
      </c>
      <c r="B1" s="47" t="s">
        <v>1</v>
      </c>
      <c r="C1" s="2"/>
      <c r="D1" s="116" t="s">
        <v>179</v>
      </c>
      <c r="E1" s="6" t="s">
        <v>5</v>
      </c>
      <c r="F1" s="7" t="s">
        <v>2</v>
      </c>
      <c r="G1" s="8" t="s">
        <v>10</v>
      </c>
      <c r="H1" s="8" t="s">
        <v>6</v>
      </c>
      <c r="I1" s="7" t="s">
        <v>4</v>
      </c>
      <c r="J1" s="9" t="s">
        <v>9</v>
      </c>
      <c r="K1" s="8" t="s">
        <v>11</v>
      </c>
      <c r="L1" s="10" t="s">
        <v>7</v>
      </c>
      <c r="M1" s="10" t="s">
        <v>8</v>
      </c>
      <c r="N1" s="7" t="s">
        <v>3</v>
      </c>
      <c r="O1" s="11" t="s">
        <v>20</v>
      </c>
      <c r="P1" s="7" t="s">
        <v>19</v>
      </c>
      <c r="Q1" s="29" t="s">
        <v>12</v>
      </c>
      <c r="R1" s="12" t="s">
        <v>89</v>
      </c>
      <c r="T1" s="43" t="s">
        <v>14</v>
      </c>
      <c r="U1" s="44" t="s">
        <v>68</v>
      </c>
      <c r="V1" s="63" t="s">
        <v>69</v>
      </c>
      <c r="W1" s="44" t="s">
        <v>13</v>
      </c>
      <c r="X1" s="45" t="s">
        <v>70</v>
      </c>
      <c r="Z1" s="148" t="s">
        <v>65</v>
      </c>
      <c r="AA1" s="149"/>
      <c r="AB1" s="149"/>
      <c r="AC1" s="149"/>
      <c r="AD1" s="149"/>
      <c r="AE1" s="149"/>
      <c r="AF1" s="149"/>
      <c r="AG1" s="149"/>
      <c r="AH1" s="149"/>
      <c r="AI1" s="12">
        <f t="array" ref="AI1">INDEX(D2:D71,MATCH(MAX(COUNTIF(D2:D71,D2:D71)),COUNTIF(D2:D71,D2:D71),0))</f>
        <v>0</v>
      </c>
      <c r="AK1" s="148" t="s">
        <v>175</v>
      </c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50"/>
    </row>
    <row r="2" spans="1:50" ht="16.5" customHeight="1" thickTop="1" thickBot="1" x14ac:dyDescent="0.35">
      <c r="A2" s="48"/>
      <c r="B2" s="49"/>
      <c r="D2" s="118"/>
      <c r="E2" s="115" t="s">
        <v>16</v>
      </c>
      <c r="F2" s="21"/>
      <c r="G2" s="21"/>
      <c r="H2" s="22" t="e">
        <f>(F2*100)/G2</f>
        <v>#DIV/0!</v>
      </c>
      <c r="I2" s="67"/>
      <c r="J2" s="21">
        <f>F2*I2+IF(N2="Фрибет",(F2*I2-F2)-F2*I2)</f>
        <v>0</v>
      </c>
      <c r="K2" s="22" t="e">
        <f>((J2*100)/G2)</f>
        <v>#DIV/0!</v>
      </c>
      <c r="L2" s="68" t="e">
        <f>1-M2</f>
        <v>#DIV/0!</v>
      </c>
      <c r="M2" s="69" t="e">
        <f>1/I2</f>
        <v>#DIV/0!</v>
      </c>
      <c r="N2" s="5"/>
      <c r="O2" s="28"/>
      <c r="P2" s="18" t="s">
        <v>39</v>
      </c>
      <c r="Q2" s="30">
        <f>IF(P2="Победа",1)+IF(P2="Поражение",0)+IF(P2="Не ставил",-2)</f>
        <v>-2</v>
      </c>
      <c r="R2" s="37"/>
      <c r="T2" s="39">
        <f>COUNTIF(Q2:Q1048576,1)+COUNTIF(Q2:Q1048576, 0)</f>
        <v>0</v>
      </c>
      <c r="U2" s="61">
        <f>COUNTIF(Q2:Q1048576,1)</f>
        <v>0</v>
      </c>
      <c r="V2" s="62">
        <f>COUNTIF(Q2:Q1048576,0)</f>
        <v>0</v>
      </c>
      <c r="W2" s="40" t="e">
        <f>(SUMIF(Q2:Q1048576,"=1")+SUMIF(Q2:Q1048576,"=0")*100)/T2</f>
        <v>#DIV/0!</v>
      </c>
      <c r="X2" s="41" t="e">
        <f>1-W2</f>
        <v>#DIV/0!</v>
      </c>
      <c r="Z2" s="190" t="s">
        <v>5</v>
      </c>
      <c r="AA2" s="160" t="s">
        <v>2</v>
      </c>
      <c r="AB2" s="192" t="s">
        <v>10</v>
      </c>
      <c r="AC2" s="193"/>
      <c r="AD2" s="192" t="s">
        <v>6</v>
      </c>
      <c r="AE2" s="193"/>
      <c r="AF2" s="144" t="s">
        <v>4</v>
      </c>
      <c r="AG2" s="144" t="s">
        <v>64</v>
      </c>
      <c r="AH2" s="144" t="s">
        <v>63</v>
      </c>
      <c r="AI2" s="175" t="s">
        <v>66</v>
      </c>
      <c r="AK2" s="179" t="s">
        <v>84</v>
      </c>
      <c r="AL2" s="180"/>
      <c r="AM2" s="185" t="s">
        <v>85</v>
      </c>
      <c r="AN2" s="180"/>
      <c r="AO2" s="186" t="s">
        <v>86</v>
      </c>
      <c r="AP2" s="187"/>
      <c r="AQ2" s="185" t="s">
        <v>87</v>
      </c>
      <c r="AR2" s="180"/>
      <c r="AS2" s="156" t="s">
        <v>123</v>
      </c>
      <c r="AT2" s="157"/>
      <c r="AU2" s="160" t="s">
        <v>119</v>
      </c>
      <c r="AV2" s="144" t="s">
        <v>120</v>
      </c>
      <c r="AW2" s="144" t="s">
        <v>121</v>
      </c>
      <c r="AX2" s="146" t="s">
        <v>122</v>
      </c>
    </row>
    <row r="3" spans="1:50" x14ac:dyDescent="0.3">
      <c r="A3" s="50"/>
      <c r="B3" s="51"/>
      <c r="D3" s="119"/>
      <c r="E3" s="115" t="s">
        <v>16</v>
      </c>
      <c r="F3" s="23"/>
      <c r="G3" s="23"/>
      <c r="H3" s="24" t="e">
        <f t="shared" ref="H3:H25" si="0">(F3*100)/G3</f>
        <v>#DIV/0!</v>
      </c>
      <c r="I3" s="33"/>
      <c r="J3" s="21">
        <f t="shared" ref="J3:J66" si="1">F3*I3+IF(N3="Фрибет",(F3*I3-F3)-F3*I3)</f>
        <v>0</v>
      </c>
      <c r="K3" s="24" t="e">
        <f t="shared" ref="K3:K66" si="2">((J3*100)/G3)</f>
        <v>#DIV/0!</v>
      </c>
      <c r="L3" s="70" t="e">
        <f t="shared" ref="L3:L66" si="3">1-M3</f>
        <v>#DIV/0!</v>
      </c>
      <c r="M3" s="75" t="e">
        <f t="shared" ref="M3:M66" si="4">1/I3</f>
        <v>#DIV/0!</v>
      </c>
      <c r="N3" s="1"/>
      <c r="O3" s="28"/>
      <c r="P3" s="19" t="s">
        <v>39</v>
      </c>
      <c r="Q3" s="31">
        <f>IF(P3="Победа",1)+IF(P3="Поражение",0)+IF(P3="Не ставил",-2)</f>
        <v>-2</v>
      </c>
      <c r="R3" s="38"/>
      <c r="T3" s="3"/>
      <c r="Z3" s="191"/>
      <c r="AA3" s="161"/>
      <c r="AB3" s="194"/>
      <c r="AC3" s="195"/>
      <c r="AD3" s="194"/>
      <c r="AE3" s="195"/>
      <c r="AF3" s="145"/>
      <c r="AG3" s="145"/>
      <c r="AH3" s="145"/>
      <c r="AI3" s="176"/>
      <c r="AK3" s="181"/>
      <c r="AL3" s="159"/>
      <c r="AM3" s="158"/>
      <c r="AN3" s="159"/>
      <c r="AO3" s="188"/>
      <c r="AP3" s="189"/>
      <c r="AQ3" s="158"/>
      <c r="AR3" s="159"/>
      <c r="AS3" s="158"/>
      <c r="AT3" s="159"/>
      <c r="AU3" s="161"/>
      <c r="AV3" s="145"/>
      <c r="AW3" s="145"/>
      <c r="AX3" s="147"/>
    </row>
    <row r="4" spans="1:50" ht="15" thickBot="1" x14ac:dyDescent="0.35">
      <c r="A4" s="50"/>
      <c r="B4" s="51"/>
      <c r="D4" s="119"/>
      <c r="E4" s="115" t="s">
        <v>16</v>
      </c>
      <c r="F4" s="14"/>
      <c r="G4" s="14"/>
      <c r="H4" s="15" t="e">
        <f t="shared" si="0"/>
        <v>#DIV/0!</v>
      </c>
      <c r="I4" s="35"/>
      <c r="J4" s="21">
        <f t="shared" si="1"/>
        <v>0</v>
      </c>
      <c r="K4" s="15" t="e">
        <f t="shared" si="2"/>
        <v>#DIV/0!</v>
      </c>
      <c r="L4" s="71" t="e">
        <f t="shared" si="3"/>
        <v>#DIV/0!</v>
      </c>
      <c r="M4" s="76" t="e">
        <f t="shared" si="4"/>
        <v>#DIV/0!</v>
      </c>
      <c r="N4" s="16"/>
      <c r="O4" s="28"/>
      <c r="P4" s="19" t="s">
        <v>39</v>
      </c>
      <c r="Q4" s="30">
        <f t="shared" ref="Q4:Q67" si="5">IF(P4="Победа",1)+IF(P4="Поражение",0)+IF(P4="Не ставил",-2)</f>
        <v>-2</v>
      </c>
      <c r="R4" s="38"/>
      <c r="Z4" s="89" t="str">
        <f t="array" ref="Z4">INDEX(E2:E71,MATCH(MAX(COUNTIF(E2:E71,E2:E71)),COUNTIF(E2:E71,E2:E71),0))</f>
        <v>Моя</v>
      </c>
      <c r="AA4" s="57" t="e">
        <f>AVERAGE(F2:F1048576)</f>
        <v>#DIV/0!</v>
      </c>
      <c r="AB4" s="177" t="e">
        <f>AVERAGE(G2:G1048576)</f>
        <v>#DIV/0!</v>
      </c>
      <c r="AC4" s="178"/>
      <c r="AD4" s="183" t="e">
        <f>AVERAGEIF(H2:H1048576, "&gt;0")</f>
        <v>#DIV/0!</v>
      </c>
      <c r="AE4" s="184"/>
      <c r="AF4" s="111" t="e">
        <f>AVERAGE(I2:I1048576)</f>
        <v>#DIV/0!</v>
      </c>
      <c r="AG4" s="85" t="e">
        <f>AVERAGEIF(L2:L1048576,"&gt;0")</f>
        <v>#DIV/0!</v>
      </c>
      <c r="AH4" s="87">
        <f t="array" ref="AH4">INDEX(N2:N71,MATCH(MAX(COUNTIF(N2:N71,N2:N71)),COUNTIF(N2:N71,N2:N71),0))</f>
        <v>0</v>
      </c>
      <c r="AI4" s="88">
        <f t="array" ref="AI4">INDEX(O2:O71,MATCH(MAX(COUNTIF(O2:O71,O2:O71)),COUNTIF(O2:O71,O2:O71),0))</f>
        <v>0</v>
      </c>
      <c r="AK4" s="182">
        <f>MAX(F2:F1048576)</f>
        <v>0</v>
      </c>
      <c r="AL4" s="178"/>
      <c r="AM4" s="177">
        <f>MIN(F2:F1048576)</f>
        <v>0</v>
      </c>
      <c r="AN4" s="178"/>
      <c r="AO4" s="183">
        <f>MAX(I2:I1048576)</f>
        <v>0</v>
      </c>
      <c r="AP4" s="184"/>
      <c r="AQ4" s="183">
        <f>MIN(I2:I1048576)</f>
        <v>0</v>
      </c>
      <c r="AR4" s="184"/>
      <c r="AS4" s="177">
        <f>MAX(J2:J1048576)</f>
        <v>0</v>
      </c>
      <c r="AT4" s="178"/>
      <c r="AU4" s="58">
        <f t="array" ref="AU4">MAX(IF(P2:P71=Мастерская!E1,J2:J71))</f>
        <v>0</v>
      </c>
      <c r="AV4" s="58">
        <f t="array" ref="AV4">MIN(IF(P2:P71=Мастерская!E1,J2:J71))</f>
        <v>0</v>
      </c>
      <c r="AW4" s="58">
        <f t="array" ref="AW4">MAX(IF(P2:P71=Мастерская!E2,F2:F71))</f>
        <v>0</v>
      </c>
      <c r="AX4" s="66">
        <f t="array" ref="AX4">MIN(IF(P2:P71=Мастерская!E2,F2:F71))</f>
        <v>0</v>
      </c>
    </row>
    <row r="5" spans="1:50" x14ac:dyDescent="0.3">
      <c r="A5" s="50"/>
      <c r="B5" s="51"/>
      <c r="D5" s="119"/>
      <c r="E5" s="115" t="s">
        <v>16</v>
      </c>
      <c r="F5" s="23"/>
      <c r="G5" s="23"/>
      <c r="H5" s="24" t="e">
        <f t="shared" si="0"/>
        <v>#DIV/0!</v>
      </c>
      <c r="I5" s="33"/>
      <c r="J5" s="21">
        <f t="shared" si="1"/>
        <v>0</v>
      </c>
      <c r="K5" s="24" t="e">
        <f t="shared" si="2"/>
        <v>#DIV/0!</v>
      </c>
      <c r="L5" s="70" t="e">
        <f t="shared" si="3"/>
        <v>#DIV/0!</v>
      </c>
      <c r="M5" s="75" t="e">
        <f t="shared" si="4"/>
        <v>#DIV/0!</v>
      </c>
      <c r="N5" s="1"/>
      <c r="O5" s="28"/>
      <c r="P5" s="19" t="s">
        <v>39</v>
      </c>
      <c r="Q5" s="31">
        <f t="shared" si="5"/>
        <v>-2</v>
      </c>
      <c r="R5" s="38"/>
    </row>
    <row r="6" spans="1:50" ht="15" thickBot="1" x14ac:dyDescent="0.35">
      <c r="A6" s="50"/>
      <c r="B6" s="51"/>
      <c r="D6" s="119"/>
      <c r="E6" s="115" t="s">
        <v>16</v>
      </c>
      <c r="F6" s="23"/>
      <c r="G6" s="23"/>
      <c r="H6" s="24" t="e">
        <f t="shared" si="0"/>
        <v>#DIV/0!</v>
      </c>
      <c r="I6" s="33"/>
      <c r="J6" s="21">
        <f t="shared" si="1"/>
        <v>0</v>
      </c>
      <c r="K6" s="24" t="e">
        <f t="shared" si="2"/>
        <v>#DIV/0!</v>
      </c>
      <c r="L6" s="70" t="e">
        <f t="shared" si="3"/>
        <v>#DIV/0!</v>
      </c>
      <c r="M6" s="75" t="e">
        <f t="shared" si="4"/>
        <v>#DIV/0!</v>
      </c>
      <c r="N6" s="1"/>
      <c r="O6" s="28"/>
      <c r="P6" s="19" t="s">
        <v>39</v>
      </c>
      <c r="Q6" s="30">
        <f t="shared" si="5"/>
        <v>-2</v>
      </c>
      <c r="R6" s="38"/>
    </row>
    <row r="7" spans="1:50" ht="15.6" thickTop="1" thickBot="1" x14ac:dyDescent="0.35">
      <c r="A7" s="50"/>
      <c r="B7" s="51"/>
      <c r="D7" s="119"/>
      <c r="E7" s="115" t="s">
        <v>16</v>
      </c>
      <c r="F7" s="23"/>
      <c r="G7" s="23"/>
      <c r="H7" s="24" t="e">
        <f t="shared" si="0"/>
        <v>#DIV/0!</v>
      </c>
      <c r="I7" s="33"/>
      <c r="J7" s="21">
        <f t="shared" si="1"/>
        <v>0</v>
      </c>
      <c r="K7" s="24" t="e">
        <f t="shared" si="2"/>
        <v>#DIV/0!</v>
      </c>
      <c r="L7" s="70" t="e">
        <f t="shared" si="3"/>
        <v>#DIV/0!</v>
      </c>
      <c r="M7" s="75" t="e">
        <f t="shared" si="4"/>
        <v>#DIV/0!</v>
      </c>
      <c r="N7" s="1"/>
      <c r="O7" s="28"/>
      <c r="P7" s="19" t="s">
        <v>39</v>
      </c>
      <c r="Q7" s="31">
        <f t="shared" si="5"/>
        <v>-2</v>
      </c>
      <c r="R7" s="38"/>
      <c r="AO7" s="196" t="s">
        <v>90</v>
      </c>
      <c r="AP7" s="203"/>
      <c r="AQ7" s="203"/>
      <c r="AR7" s="203"/>
      <c r="AS7" s="203"/>
      <c r="AT7" s="197"/>
    </row>
    <row r="8" spans="1:50" ht="15" thickTop="1" x14ac:dyDescent="0.3">
      <c r="A8" s="50"/>
      <c r="B8" s="51"/>
      <c r="D8" s="119"/>
      <c r="E8" s="115" t="s">
        <v>16</v>
      </c>
      <c r="F8" s="23"/>
      <c r="G8" s="23"/>
      <c r="H8" s="24" t="e">
        <f t="shared" si="0"/>
        <v>#DIV/0!</v>
      </c>
      <c r="I8" s="33"/>
      <c r="J8" s="21">
        <f t="shared" si="1"/>
        <v>0</v>
      </c>
      <c r="K8" s="24" t="e">
        <f t="shared" si="2"/>
        <v>#DIV/0!</v>
      </c>
      <c r="L8" s="70" t="e">
        <f t="shared" si="3"/>
        <v>#DIV/0!</v>
      </c>
      <c r="M8" s="75" t="e">
        <f t="shared" si="4"/>
        <v>#DIV/0!</v>
      </c>
      <c r="N8" s="1"/>
      <c r="O8" s="28"/>
      <c r="P8" s="19" t="s">
        <v>39</v>
      </c>
      <c r="Q8" s="30">
        <f t="shared" si="5"/>
        <v>-2</v>
      </c>
      <c r="R8" s="38"/>
      <c r="AO8" s="166" t="s">
        <v>178</v>
      </c>
      <c r="AP8" s="167"/>
      <c r="AQ8" s="168" t="s">
        <v>17</v>
      </c>
      <c r="AR8" s="167"/>
      <c r="AS8" s="168" t="s">
        <v>40</v>
      </c>
      <c r="AT8" s="169"/>
    </row>
    <row r="9" spans="1:50" ht="15" thickBot="1" x14ac:dyDescent="0.35">
      <c r="A9" s="52"/>
      <c r="B9" s="51"/>
      <c r="D9" s="119"/>
      <c r="E9" s="115" t="s">
        <v>16</v>
      </c>
      <c r="F9" s="23"/>
      <c r="G9" s="23"/>
      <c r="H9" s="24" t="e">
        <f t="shared" si="0"/>
        <v>#DIV/0!</v>
      </c>
      <c r="I9" s="33"/>
      <c r="J9" s="21">
        <f t="shared" si="1"/>
        <v>0</v>
      </c>
      <c r="K9" s="24" t="e">
        <f t="shared" si="2"/>
        <v>#DIV/0!</v>
      </c>
      <c r="L9" s="70" t="e">
        <f t="shared" si="3"/>
        <v>#DIV/0!</v>
      </c>
      <c r="M9" s="75" t="e">
        <f t="shared" si="4"/>
        <v>#DIV/0!</v>
      </c>
      <c r="N9" s="1"/>
      <c r="O9" s="28"/>
      <c r="P9" s="19" t="s">
        <v>39</v>
      </c>
      <c r="Q9" s="31">
        <f t="shared" si="5"/>
        <v>-2</v>
      </c>
      <c r="R9" s="38"/>
      <c r="AO9" s="162">
        <f>COUNTIF(N2:N1048576, "Одинар")</f>
        <v>0</v>
      </c>
      <c r="AP9" s="163"/>
      <c r="AQ9" s="164">
        <f>COUNTIF(N2:N1048576, "Экспресс")</f>
        <v>0</v>
      </c>
      <c r="AR9" s="163"/>
      <c r="AS9" s="164">
        <f>COUNTIF(N2:N1048576, "Фрибет")</f>
        <v>0</v>
      </c>
      <c r="AT9" s="165"/>
    </row>
    <row r="10" spans="1:50" ht="15" thickBot="1" x14ac:dyDescent="0.35">
      <c r="A10" s="52"/>
      <c r="B10" s="51"/>
      <c r="D10" s="119"/>
      <c r="E10" s="115" t="s">
        <v>16</v>
      </c>
      <c r="F10" s="25"/>
      <c r="G10" s="25"/>
      <c r="H10" s="26" t="e">
        <f t="shared" si="0"/>
        <v>#DIV/0!</v>
      </c>
      <c r="I10" s="36"/>
      <c r="J10" s="21">
        <f t="shared" si="1"/>
        <v>0</v>
      </c>
      <c r="K10" s="26" t="e">
        <f t="shared" si="2"/>
        <v>#DIV/0!</v>
      </c>
      <c r="L10" s="72" t="e">
        <f t="shared" si="3"/>
        <v>#DIV/0!</v>
      </c>
      <c r="M10" s="77" t="e">
        <f t="shared" si="4"/>
        <v>#DIV/0!</v>
      </c>
      <c r="N10" s="4"/>
      <c r="O10" s="28"/>
      <c r="P10" s="19" t="s">
        <v>39</v>
      </c>
      <c r="Q10" s="30">
        <f t="shared" si="5"/>
        <v>-2</v>
      </c>
      <c r="R10" s="38"/>
    </row>
    <row r="11" spans="1:50" ht="15.6" thickTop="1" thickBot="1" x14ac:dyDescent="0.35">
      <c r="A11" s="50"/>
      <c r="B11" s="51"/>
      <c r="D11" s="119"/>
      <c r="E11" s="115" t="s">
        <v>16</v>
      </c>
      <c r="F11" s="23"/>
      <c r="G11" s="23"/>
      <c r="H11" s="24" t="e">
        <f t="shared" si="0"/>
        <v>#DIV/0!</v>
      </c>
      <c r="I11" s="33"/>
      <c r="J11" s="21">
        <f t="shared" si="1"/>
        <v>0</v>
      </c>
      <c r="K11" s="24" t="e">
        <f t="shared" si="2"/>
        <v>#DIV/0!</v>
      </c>
      <c r="L11" s="70" t="e">
        <f t="shared" si="3"/>
        <v>#DIV/0!</v>
      </c>
      <c r="M11" s="75" t="e">
        <f t="shared" si="4"/>
        <v>#DIV/0!</v>
      </c>
      <c r="N11" s="1"/>
      <c r="O11" s="28"/>
      <c r="P11" s="19" t="s">
        <v>39</v>
      </c>
      <c r="Q11" s="31">
        <f t="shared" si="5"/>
        <v>-2</v>
      </c>
      <c r="R11" s="38"/>
      <c r="AO11" s="200" t="s">
        <v>177</v>
      </c>
      <c r="AP11" s="201"/>
      <c r="AQ11" s="201"/>
      <c r="AR11" s="201"/>
      <c r="AS11" s="201"/>
      <c r="AT11" s="201"/>
      <c r="AU11" s="201"/>
      <c r="AV11" s="202"/>
    </row>
    <row r="12" spans="1:50" ht="15" thickTop="1" x14ac:dyDescent="0.3">
      <c r="A12" s="50"/>
      <c r="B12" s="51"/>
      <c r="D12" s="119"/>
      <c r="E12" s="115" t="s">
        <v>16</v>
      </c>
      <c r="F12" s="21"/>
      <c r="G12" s="21"/>
      <c r="H12" s="22" t="e">
        <f t="shared" si="0"/>
        <v>#DIV/0!</v>
      </c>
      <c r="I12" s="34"/>
      <c r="J12" s="21">
        <f t="shared" si="1"/>
        <v>0</v>
      </c>
      <c r="K12" s="22" t="e">
        <f t="shared" si="2"/>
        <v>#DIV/0!</v>
      </c>
      <c r="L12" s="68" t="e">
        <f t="shared" si="3"/>
        <v>#DIV/0!</v>
      </c>
      <c r="M12" s="69" t="e">
        <f t="shared" si="4"/>
        <v>#DIV/0!</v>
      </c>
      <c r="N12" s="5"/>
      <c r="O12" s="28"/>
      <c r="P12" s="19" t="s">
        <v>39</v>
      </c>
      <c r="Q12" s="30">
        <f t="shared" si="5"/>
        <v>-2</v>
      </c>
      <c r="R12" s="38"/>
      <c r="AO12" s="154" t="s">
        <v>33</v>
      </c>
      <c r="AP12" s="155"/>
      <c r="AQ12" s="155"/>
      <c r="AR12" s="96" t="s">
        <v>109</v>
      </c>
      <c r="AS12" s="96" t="s">
        <v>110</v>
      </c>
      <c r="AT12" s="155" t="s">
        <v>111</v>
      </c>
      <c r="AU12" s="155"/>
      <c r="AV12" s="91" t="s">
        <v>112</v>
      </c>
    </row>
    <row r="13" spans="1:50" ht="15" thickBot="1" x14ac:dyDescent="0.35">
      <c r="A13" s="50"/>
      <c r="B13" s="51"/>
      <c r="D13" s="119"/>
      <c r="E13" s="115" t="s">
        <v>16</v>
      </c>
      <c r="F13" s="23"/>
      <c r="G13" s="23"/>
      <c r="H13" s="24" t="e">
        <f t="shared" si="0"/>
        <v>#DIV/0!</v>
      </c>
      <c r="I13" s="33"/>
      <c r="J13" s="21">
        <f t="shared" si="1"/>
        <v>0</v>
      </c>
      <c r="K13" s="24" t="e">
        <f t="shared" si="2"/>
        <v>#DIV/0!</v>
      </c>
      <c r="L13" s="70" t="e">
        <f t="shared" si="3"/>
        <v>#DIV/0!</v>
      </c>
      <c r="M13" s="75" t="e">
        <f t="shared" si="4"/>
        <v>#DIV/0!</v>
      </c>
      <c r="N13" s="1"/>
      <c r="O13" s="28"/>
      <c r="P13" s="19" t="s">
        <v>39</v>
      </c>
      <c r="Q13" s="31">
        <f t="shared" si="5"/>
        <v>-2</v>
      </c>
      <c r="R13" s="38"/>
      <c r="AO13" s="173">
        <f>IF(AO12="Футбол - Лига Чемпионов УЕФА",Мастерская!J1, 0)+IF(AO12="Футбол - Лига Европы УЕФА",Мастерская!J2, 0)+IF(AO12="Футбол - Еврокубки. Другое",Мастерская!J3, 0)+IF(AO12="Футбол - Россия. РПЛ",Мастерская!J4, 0)+IF(AO12="Футбол - Кубок России",Мастерская!J5, 0)+IF(AO12="Футбол - Россия. ФНЛ",Мастерская!J6, 0)+IF(AO12="Футбол - Россия. ПФЛ",Мастерская!J7, 0)+IF(AO12="Футбол - Россия. Другое",Мастерская!J8, 0)+IF(AO12="Футбол - Англия. АПЛ",Мастерская!J9, 0)+IF(AO12="Футбол - Кубок Англии",Мастерская!J10, 0)+IF(AO12="Футбол - Англия. Кубок Лиги",Мастерская!J11, 0)+IF(AO12="Футбол - Англия. Чемпионшип",Мастерская!J12, 0)+IF(AO12="Футбол - Испания. Ла Лига",Мастерская!J13, 0)+IF(AO12="Футбол - Италия. Серия А",Мастерская!J14, 0)+IF(AO12="Футбол - Германия. Бундеслига",Мастерская!J15, 0)+IF(AO12="Футбол - Франция. Лига 1",Мастерская!J16, 0)+IF(AO12="Футбол - Португалия. Лига NOS",Мастерская!J17, 0)+IF(AO12="Футбол - Турция. Суперлига",Мастерская!J18, 0)+IF(AO12="Футбол - Нидерланды. Эредивизи",Мастерская!J19, 0)+IF(AO12="Футбол - Греция. Суперлига",Мастерская!J20, 0)+IF(AO12="Футбол - Украина. УПЛ",Мастерская!J21, 0)+IF(AO12="Футбол - Кубок Либертадорес",Мастерская!J22, 0)+IF(AO12="Футбол - США/Канада. MLS",Мастерская!J23, 0)+IF(AO12="Футбол - Бразилия. Сериа А",Мастерская!J24, 0)+IF(AO12="Футбол - Аргентина. Суперлига",Мастерская!J25, 0)+IF(AO12="Футбол - Китай. Суперлига",Мастерская!J26, 0)+IF(AO12="Футбол - Сборные. Чемпионат мира",Мастерская!J27, 0)+IF(AO12="Футбол - Сборные. Чемпионат Европы",Мастерская!J28, 0)+IF(AO12="Футбол - Сборные. Лига Наций",Мастерская!J29, 0)+IF(AO12="Футбол - Сборные. Кубок Америки",Мастерская!J30, 0)+IF(AO12="Футбол - Сборные. Кубок Азии",Мастерская!J31, 0)+IF(AO12="Футбол - Сборные. Кубок Африки",Мастерская!J32, 0)+IF(AO12="Футбол - Сборные. КОНКАКАФ",Мастерская!J33, 0)+IF(AO12="Футбол - Сборные.  Другое",Мастерская!J34, 0)+IF(AO12="Хоккей - КХЛ",Мастерская!J35, 0)+IF(AO12="Хоккей - НХЛ",Мастерская!J36, 0)+IF(AO12="Хоккей - Сборные. Чемпионат мира",Мастерская!J37, 0)+IF(AO12="Хоккей - Сборные. Евротур",Мастерская!J38, 0)+IF(AO12="Смешанные единоборства - UFC",Мастерская!J39, 0)+IF(AO12="Смешанные единоборства - Bellator",Мастерская!J40, 0)+IF(AO12="Смешанные единоборства - M-1",Мастерская!J41, 0)+IF(AO12="Смешанные единоборства - Fight Nights Global",Мастерская!J42, 0)+IF(AO12="Бокс - WBA",Мастерская!J43, 0)+IF(AO12="Бокс - WBC",Мастерская!J44, 0)+IF(AO12="Бокс - WBO",Мастерская!J45, 0)+IF(AO12="Бокс - IBF",Мастерская!J46, 0)+IF(AO12="Бокс - IBO",Мастерская!J47, 0)+IF(AO12="Теннис - Уимблдон. ATP",Мастерская!J48, 0)+IF(AO12="Теннис - Уимблдон. WTA",Мастерская!J49, 0)+IF(AO12="Теннис - Australian Open",Мастерская!J50, 0)+IF(AO12="Теннис - Франция. Ролан Гаррос",Мастерская!J51, 0)+IF(AO12="Теннис - US Open",Мастерская!J52, 0)+IF(AO12="Теннис - Кубок Федерации",Мастерская!J53, 0)+IF(AO12="Теннис - Кубок Дэвиса",Мастерская!J54, 0)+IF(AO12="Теннис - Кубок Кремля",Мастерская!J55, 0)+IF(AO12="Баскетбол - Сборные. Чемпионат мира",Мастерская!J56, 0)+IF(AO12="Баскетбол - Сборные. Чемпионат Европы",Мастерская!J57, 0)+IF(AO12="Баскетбол - Евролига",Мастерская!J58, 0)+IF(AO12="Баскетбол - Еврокубок",Мастерская!J59, 0)+IF(AO12="Баскетбол - Лига Чемпионов",Мастерская!J60, 0)+IF(AO12="Баскетбол - Россия. Единая Лига ВТБ",Мастерская!J61, 0)+IF(AO12="Баскетбол - США. NBA",Мастерская!J62, 0)+IF(AO12="Волейбол - Сборные. Чемпионат мира",Мастерская!J63, 0)+IF(AO12="Волейбол - Сборные. Кубок мира",Мастерская!J64, 0)+IF(AO12="Волейбол - Сборные. Всемирный Кубок Чемпионов",Мастерская!J65, 0)+IF(AO12="Волейбол - Сборные. Лига наций",Мастерская!J66, 0)+IF(AO12="Волейбол - Сборные. Чемпионат Европы",Мастерская!J67, 0)+IF(AO12="Волейбол - Евролига",Мастерская!J68, 0)+IF(AO12="Волейбол - Чемпионат России",Мастерская!J69, 0)+IF(AO12="Биатлон - Чемпионат мира",Мастерская!J70, 0)+IF(AO12="Биатлон - Чемпионат Европы",Мастерская!J71, 0)+IF(AO12="Биатлон - Кубок мира",Мастерская!J72, 0)+IF(AO12="Биатлон - Кубок IBU",Мастерская!J73, 0)+IF(AO12="Формула-1",Мастерская!J74, 0)+IF(AO12="Киберспорт - The International. Dota 2 Championships",Мастерская!J75, 0)+IF(AO12="Киберспорт - Другое",Мастерская!J76, 0)+IF(AO12="Мини-футбол - Сборные. Чемпионат мира",Мастерская!J77, 0)+IF(AO12="Мини-футбол - Сборные. Чемпионат Европы",Мастерская!J78, 0)+IF(AO12="Мини-футбол - Лига Чемпионов УЕФА",Мастерская!J79, 0)+IF(AO12="Мини-футбол - Россия. Суперлига",Мастерская!J80, 0)+IF(AO12="Мини-футбол - Бразилия. Лига футзала",Мастерская!J81, 0)+IF(AO12="Пляжный футбол - Сборные. Чемпионат мира",Мастерская!J82, 0)+IF(AO12="Пляжный футбол - Сборные. Межконтинентальный кубок",Мастерская!J83, 0)+IF(AO12="Пляжный футбол - Сборные. Кубок Европы",Мастерская!J84, 0)+IF(AO12="Пляжный футбол - Кубок европейских чемпионов",Мастерская!J85, 0)+IF(AO12="Пляжный футбол - Чемпионат России",Мастерская!J86, 0)+IF(AO12="Настольный теннис - Сборные. Чемпионат мира",Мастерская!J87, 0)+IF(AO12="Настольный теннис - Сборные. Чемпионат Европы",Мастерская!J88, 0)+IF(AO12="Хоккей с мячом - Сборные. Чемпионат мира",Мастерская!J89, 0)+IF(AO12="Хоккей с мячом - Россия. Суперлига",Мастерская!J90, 0)+IF(AO12="Гандбол",Мастерская!J91, 0)+IF(AO12="Снукер",Мастерская!J92, 0)+IF(AO12="Скачки",Мастерская!J93, 0)+IF(AO12="Американский футбол",Мастерская!J94, 0)+IF(AO12="Бейсбол",Мастерская!J95, 0)+IF(AO12="Водное поло",Мастерская!J96, 0)+IF(AO12="Лыжные гонки",Мастерская!J97, 0)+IF(AO12="Тяжёлая атлетика",Мастерская!J98, 0)+IF(AO12="Лёгкая атлетика",Мастерская!J99, 0)+IF(AO12="Регби",Мастерская!J100, 0)+IF(AO12="Пляжный волейбол",Мастерская!J101, 0)+IF(AO12="Кёрлинг",Мастерская!J102, 0)+IF(AO12="Гольф",Мастерская!J103, 0)+IF(AO12="Прыжки с трамплина",Мастерская!J104, 0)</f>
        <v>0</v>
      </c>
      <c r="AP13" s="174"/>
      <c r="AQ13" s="174"/>
      <c r="AR13" s="95">
        <f>SUM(Мастерская!J1:J34)</f>
        <v>0</v>
      </c>
      <c r="AS13" s="95">
        <f>SUM(Мастерская!J35:J38)</f>
        <v>0</v>
      </c>
      <c r="AT13" s="174">
        <f>SUM(Мастерская!J39:J42)</f>
        <v>0</v>
      </c>
      <c r="AU13" s="174"/>
      <c r="AV13" s="97">
        <f>SUM(Мастерская!J43:J47)</f>
        <v>0</v>
      </c>
    </row>
    <row r="14" spans="1:50" ht="15" thickTop="1" x14ac:dyDescent="0.3">
      <c r="A14" s="50"/>
      <c r="B14" s="51"/>
      <c r="D14" s="119"/>
      <c r="E14" s="115" t="s">
        <v>16</v>
      </c>
      <c r="F14" s="23"/>
      <c r="G14" s="23"/>
      <c r="H14" s="24" t="e">
        <f t="shared" si="0"/>
        <v>#DIV/0!</v>
      </c>
      <c r="I14" s="33"/>
      <c r="J14" s="21">
        <f t="shared" si="1"/>
        <v>0</v>
      </c>
      <c r="K14" s="24" t="e">
        <f t="shared" si="2"/>
        <v>#DIV/0!</v>
      </c>
      <c r="L14" s="70" t="e">
        <f t="shared" si="3"/>
        <v>#DIV/0!</v>
      </c>
      <c r="M14" s="75" t="e">
        <f t="shared" si="4"/>
        <v>#DIV/0!</v>
      </c>
      <c r="N14" s="1"/>
      <c r="O14" s="28"/>
      <c r="P14" s="19" t="s">
        <v>39</v>
      </c>
      <c r="Q14" s="30">
        <f t="shared" si="5"/>
        <v>-2</v>
      </c>
      <c r="R14" s="38"/>
      <c r="AO14" s="92" t="s">
        <v>113</v>
      </c>
      <c r="AP14" s="94" t="s">
        <v>114</v>
      </c>
      <c r="AQ14" s="94" t="s">
        <v>115</v>
      </c>
      <c r="AR14" s="94" t="s">
        <v>116</v>
      </c>
      <c r="AS14" s="94" t="s">
        <v>61</v>
      </c>
      <c r="AT14" s="94" t="s">
        <v>117</v>
      </c>
      <c r="AU14" s="94" t="s">
        <v>151</v>
      </c>
      <c r="AV14" s="98" t="s">
        <v>152</v>
      </c>
    </row>
    <row r="15" spans="1:50" ht="15" thickBot="1" x14ac:dyDescent="0.35">
      <c r="A15" s="50"/>
      <c r="B15" s="51"/>
      <c r="D15" s="119"/>
      <c r="E15" s="115" t="s">
        <v>16</v>
      </c>
      <c r="F15" s="23"/>
      <c r="G15" s="23"/>
      <c r="H15" s="24" t="e">
        <f t="shared" si="0"/>
        <v>#DIV/0!</v>
      </c>
      <c r="I15" s="33"/>
      <c r="J15" s="21">
        <f t="shared" si="1"/>
        <v>0</v>
      </c>
      <c r="K15" s="24" t="e">
        <f t="shared" si="2"/>
        <v>#DIV/0!</v>
      </c>
      <c r="L15" s="70" t="e">
        <f t="shared" si="3"/>
        <v>#DIV/0!</v>
      </c>
      <c r="M15" s="75" t="e">
        <f t="shared" si="4"/>
        <v>#DIV/0!</v>
      </c>
      <c r="N15" s="1"/>
      <c r="O15" s="28"/>
      <c r="P15" s="19" t="s">
        <v>39</v>
      </c>
      <c r="Q15" s="31">
        <f t="shared" si="5"/>
        <v>-2</v>
      </c>
      <c r="R15" s="38"/>
      <c r="AO15" s="93">
        <f>SUM(Мастерская!J48:J55)</f>
        <v>0</v>
      </c>
      <c r="AP15" s="95">
        <f>SUM(Мастерская!J56:J62)</f>
        <v>0</v>
      </c>
      <c r="AQ15" s="95">
        <f>SUM(Мастерская!J63:J69)</f>
        <v>0</v>
      </c>
      <c r="AR15" s="95">
        <f>SUM(Мастерская!J70:J73)</f>
        <v>0</v>
      </c>
      <c r="AS15" s="95">
        <f>Мастерская!J74</f>
        <v>0</v>
      </c>
      <c r="AT15" s="95">
        <f>SUM(Мастерская!J75:J76)</f>
        <v>0</v>
      </c>
      <c r="AU15" s="95">
        <f>SUM(Мастерская!J77:J81)</f>
        <v>0</v>
      </c>
      <c r="AV15" s="97">
        <f>SUM(Мастерская!J82:J86)</f>
        <v>0</v>
      </c>
    </row>
    <row r="16" spans="1:50" ht="15" thickTop="1" x14ac:dyDescent="0.3">
      <c r="A16" s="50"/>
      <c r="B16" s="51"/>
      <c r="D16" s="119"/>
      <c r="E16" s="115" t="s">
        <v>16</v>
      </c>
      <c r="F16" s="23"/>
      <c r="G16" s="23"/>
      <c r="H16" s="24" t="e">
        <f t="shared" si="0"/>
        <v>#DIV/0!</v>
      </c>
      <c r="I16" s="33"/>
      <c r="J16" s="21">
        <f t="shared" si="1"/>
        <v>0</v>
      </c>
      <c r="K16" s="24" t="e">
        <f t="shared" si="2"/>
        <v>#DIV/0!</v>
      </c>
      <c r="L16" s="70" t="e">
        <f t="shared" si="3"/>
        <v>#DIV/0!</v>
      </c>
      <c r="M16" s="75" t="e">
        <f t="shared" si="4"/>
        <v>#DIV/0!</v>
      </c>
      <c r="N16" s="1"/>
      <c r="O16" s="28"/>
      <c r="P16" s="19" t="s">
        <v>39</v>
      </c>
      <c r="Q16" s="30">
        <f t="shared" si="5"/>
        <v>-2</v>
      </c>
      <c r="R16" s="38"/>
      <c r="AO16" s="99" t="s">
        <v>145</v>
      </c>
      <c r="AP16" s="100" t="s">
        <v>154</v>
      </c>
      <c r="AQ16" s="100" t="s">
        <v>144</v>
      </c>
      <c r="AR16" s="100" t="s">
        <v>155</v>
      </c>
      <c r="AS16" s="100" t="s">
        <v>146</v>
      </c>
      <c r="AT16" s="100" t="s">
        <v>153</v>
      </c>
      <c r="AU16" s="100" t="s">
        <v>143</v>
      </c>
      <c r="AV16" s="101" t="s">
        <v>157</v>
      </c>
    </row>
    <row r="17" spans="1:48" ht="15" thickBot="1" x14ac:dyDescent="0.35">
      <c r="A17" s="50"/>
      <c r="B17" s="51"/>
      <c r="D17" s="119"/>
      <c r="E17" s="115" t="s">
        <v>16</v>
      </c>
      <c r="F17" s="23"/>
      <c r="G17" s="23"/>
      <c r="H17" s="24" t="e">
        <f t="shared" si="0"/>
        <v>#DIV/0!</v>
      </c>
      <c r="I17" s="33"/>
      <c r="J17" s="21">
        <f t="shared" si="1"/>
        <v>0</v>
      </c>
      <c r="K17" s="24" t="e">
        <f t="shared" si="2"/>
        <v>#DIV/0!</v>
      </c>
      <c r="L17" s="70" t="e">
        <f t="shared" si="3"/>
        <v>#DIV/0!</v>
      </c>
      <c r="M17" s="75" t="e">
        <f t="shared" si="4"/>
        <v>#DIV/0!</v>
      </c>
      <c r="N17" s="1"/>
      <c r="O17" s="28"/>
      <c r="P17" s="19" t="s">
        <v>39</v>
      </c>
      <c r="Q17" s="31">
        <f t="shared" si="5"/>
        <v>-2</v>
      </c>
      <c r="R17" s="38"/>
      <c r="AO17" s="102">
        <f>SUM(Мастерская!J87:J88)</f>
        <v>0</v>
      </c>
      <c r="AP17" s="103">
        <f>SUM(Мастерская!J89:J90)</f>
        <v>0</v>
      </c>
      <c r="AQ17" s="103">
        <f>Мастерская!J91</f>
        <v>0</v>
      </c>
      <c r="AR17" s="103">
        <f>Мастерская!J92</f>
        <v>0</v>
      </c>
      <c r="AS17" s="103">
        <f>Мастерская!J93</f>
        <v>0</v>
      </c>
      <c r="AT17" s="103">
        <f>Мастерская!J94</f>
        <v>0</v>
      </c>
      <c r="AU17" s="103">
        <f>Мастерская!J95</f>
        <v>0</v>
      </c>
      <c r="AV17" s="104">
        <f>Мастерская!J96</f>
        <v>0</v>
      </c>
    </row>
    <row r="18" spans="1:48" ht="15" thickTop="1" x14ac:dyDescent="0.3">
      <c r="A18" s="50"/>
      <c r="B18" s="51"/>
      <c r="D18" s="119"/>
      <c r="E18" s="115" t="s">
        <v>16</v>
      </c>
      <c r="F18" s="23"/>
      <c r="G18" s="23"/>
      <c r="H18" s="24" t="e">
        <f t="shared" si="0"/>
        <v>#DIV/0!</v>
      </c>
      <c r="I18" s="33"/>
      <c r="J18" s="21">
        <f t="shared" si="1"/>
        <v>0</v>
      </c>
      <c r="K18" s="24" t="e">
        <f t="shared" si="2"/>
        <v>#DIV/0!</v>
      </c>
      <c r="L18" s="70" t="e">
        <f t="shared" si="3"/>
        <v>#DIV/0!</v>
      </c>
      <c r="M18" s="75" t="e">
        <f t="shared" si="4"/>
        <v>#DIV/0!</v>
      </c>
      <c r="N18" s="1"/>
      <c r="O18" s="28"/>
      <c r="P18" s="19" t="s">
        <v>39</v>
      </c>
      <c r="Q18" s="30">
        <f t="shared" si="5"/>
        <v>-2</v>
      </c>
      <c r="R18" s="38"/>
      <c r="AO18" s="99" t="s">
        <v>156</v>
      </c>
      <c r="AP18" s="100" t="s">
        <v>159</v>
      </c>
      <c r="AQ18" s="100" t="s">
        <v>158</v>
      </c>
      <c r="AR18" s="100" t="s">
        <v>161</v>
      </c>
      <c r="AS18" s="100" t="s">
        <v>162</v>
      </c>
      <c r="AT18" s="100" t="s">
        <v>160</v>
      </c>
      <c r="AU18" s="100" t="s">
        <v>163</v>
      </c>
      <c r="AV18" s="101" t="s">
        <v>164</v>
      </c>
    </row>
    <row r="19" spans="1:48" ht="15" thickBot="1" x14ac:dyDescent="0.35">
      <c r="A19" s="50"/>
      <c r="B19" s="51"/>
      <c r="D19" s="119"/>
      <c r="E19" s="115" t="s">
        <v>16</v>
      </c>
      <c r="F19" s="23"/>
      <c r="G19" s="23"/>
      <c r="H19" s="24" t="e">
        <f t="shared" si="0"/>
        <v>#DIV/0!</v>
      </c>
      <c r="I19" s="33"/>
      <c r="J19" s="21">
        <f t="shared" si="1"/>
        <v>0</v>
      </c>
      <c r="K19" s="24" t="e">
        <f t="shared" si="2"/>
        <v>#DIV/0!</v>
      </c>
      <c r="L19" s="70" t="e">
        <f t="shared" si="3"/>
        <v>#DIV/0!</v>
      </c>
      <c r="M19" s="75" t="e">
        <f t="shared" si="4"/>
        <v>#DIV/0!</v>
      </c>
      <c r="N19" s="1"/>
      <c r="O19" s="28"/>
      <c r="P19" s="19" t="s">
        <v>39</v>
      </c>
      <c r="Q19" s="31">
        <f t="shared" si="5"/>
        <v>-2</v>
      </c>
      <c r="R19" s="38"/>
      <c r="AO19" s="105">
        <f>Мастерская!J97</f>
        <v>0</v>
      </c>
      <c r="AP19" s="106">
        <f>Мастерская!J98</f>
        <v>0</v>
      </c>
      <c r="AQ19" s="106">
        <f>Мастерская!J99</f>
        <v>0</v>
      </c>
      <c r="AR19" s="106">
        <f>Мастерская!J100</f>
        <v>0</v>
      </c>
      <c r="AS19" s="106">
        <f>Мастерская!J101</f>
        <v>0</v>
      </c>
      <c r="AT19" s="106">
        <f>Мастерская!J102</f>
        <v>0</v>
      </c>
      <c r="AU19" s="106">
        <f>Мастерская!J103</f>
        <v>0</v>
      </c>
      <c r="AV19" s="107">
        <f>Мастерская!J104</f>
        <v>0</v>
      </c>
    </row>
    <row r="20" spans="1:48" ht="15" thickBot="1" x14ac:dyDescent="0.35">
      <c r="A20" s="50"/>
      <c r="B20" s="51"/>
      <c r="D20" s="119"/>
      <c r="E20" s="115" t="s">
        <v>16</v>
      </c>
      <c r="F20" s="23"/>
      <c r="G20" s="23"/>
      <c r="H20" s="24" t="e">
        <f t="shared" si="0"/>
        <v>#DIV/0!</v>
      </c>
      <c r="I20" s="33"/>
      <c r="J20" s="21">
        <f t="shared" si="1"/>
        <v>0</v>
      </c>
      <c r="K20" s="24" t="e">
        <f t="shared" si="2"/>
        <v>#DIV/0!</v>
      </c>
      <c r="L20" s="70" t="e">
        <f t="shared" si="3"/>
        <v>#DIV/0!</v>
      </c>
      <c r="M20" s="75" t="e">
        <f t="shared" si="4"/>
        <v>#DIV/0!</v>
      </c>
      <c r="N20" s="1"/>
      <c r="O20" s="28"/>
      <c r="P20" s="19" t="s">
        <v>39</v>
      </c>
      <c r="Q20" s="30">
        <f t="shared" si="5"/>
        <v>-2</v>
      </c>
      <c r="R20" s="38"/>
    </row>
    <row r="21" spans="1:48" ht="15.6" thickTop="1" thickBot="1" x14ac:dyDescent="0.35">
      <c r="A21" s="50"/>
      <c r="B21" s="51"/>
      <c r="D21" s="119"/>
      <c r="E21" s="115" t="s">
        <v>16</v>
      </c>
      <c r="F21" s="23"/>
      <c r="G21" s="23"/>
      <c r="H21" s="24" t="e">
        <f t="shared" si="0"/>
        <v>#DIV/0!</v>
      </c>
      <c r="I21" s="33"/>
      <c r="J21" s="21">
        <f t="shared" si="1"/>
        <v>0</v>
      </c>
      <c r="K21" s="24" t="e">
        <f t="shared" si="2"/>
        <v>#DIV/0!</v>
      </c>
      <c r="L21" s="70" t="e">
        <f t="shared" si="3"/>
        <v>#DIV/0!</v>
      </c>
      <c r="M21" s="75" t="e">
        <f t="shared" si="4"/>
        <v>#DIV/0!</v>
      </c>
      <c r="N21" s="1"/>
      <c r="O21" s="28"/>
      <c r="P21" s="19" t="s">
        <v>39</v>
      </c>
      <c r="Q21" s="31">
        <f t="shared" si="5"/>
        <v>-2</v>
      </c>
      <c r="R21" s="38"/>
      <c r="AO21" s="170" t="s">
        <v>202</v>
      </c>
      <c r="AP21" s="171"/>
      <c r="AQ21" s="171"/>
      <c r="AR21" s="171"/>
      <c r="AS21" s="172"/>
    </row>
    <row r="22" spans="1:48" ht="16.5" customHeight="1" thickTop="1" x14ac:dyDescent="0.3">
      <c r="A22" s="50"/>
      <c r="B22" s="51"/>
      <c r="D22" s="119"/>
      <c r="E22" s="115" t="s">
        <v>16</v>
      </c>
      <c r="F22" s="23"/>
      <c r="G22" s="23"/>
      <c r="H22" s="24" t="e">
        <f t="shared" si="0"/>
        <v>#DIV/0!</v>
      </c>
      <c r="I22" s="33"/>
      <c r="J22" s="21">
        <f t="shared" si="1"/>
        <v>0</v>
      </c>
      <c r="K22" s="24" t="e">
        <f t="shared" si="2"/>
        <v>#DIV/0!</v>
      </c>
      <c r="L22" s="70" t="e">
        <f t="shared" si="3"/>
        <v>#DIV/0!</v>
      </c>
      <c r="M22" s="75" t="e">
        <f t="shared" si="4"/>
        <v>#DIV/0!</v>
      </c>
      <c r="N22" s="1"/>
      <c r="O22" s="28"/>
      <c r="P22" s="19" t="s">
        <v>39</v>
      </c>
      <c r="Q22" s="30">
        <f t="shared" si="5"/>
        <v>-2</v>
      </c>
      <c r="R22" s="38"/>
      <c r="T22" s="42"/>
      <c r="U22" s="42"/>
      <c r="V22" s="42"/>
      <c r="W22" s="42"/>
      <c r="X22" s="42"/>
      <c r="Y22" s="42"/>
      <c r="Z22" s="42"/>
      <c r="AA22" s="42"/>
      <c r="AB22" s="42"/>
      <c r="AO22" s="113" t="s">
        <v>180</v>
      </c>
      <c r="AP22" s="96" t="s">
        <v>181</v>
      </c>
      <c r="AQ22" s="96" t="s">
        <v>182</v>
      </c>
      <c r="AR22" s="112" t="s">
        <v>183</v>
      </c>
      <c r="AS22" s="91" t="s">
        <v>184</v>
      </c>
    </row>
    <row r="23" spans="1:48" ht="15.75" customHeight="1" thickBot="1" x14ac:dyDescent="0.35">
      <c r="A23" s="50"/>
      <c r="B23" s="51"/>
      <c r="D23" s="119"/>
      <c r="E23" s="115" t="s">
        <v>16</v>
      </c>
      <c r="F23" s="23"/>
      <c r="G23" s="23"/>
      <c r="H23" s="24" t="e">
        <f t="shared" si="0"/>
        <v>#DIV/0!</v>
      </c>
      <c r="I23" s="33"/>
      <c r="J23" s="21">
        <f t="shared" si="1"/>
        <v>0</v>
      </c>
      <c r="K23" s="24" t="e">
        <f t="shared" si="2"/>
        <v>#DIV/0!</v>
      </c>
      <c r="L23" s="70" t="e">
        <f t="shared" si="3"/>
        <v>#DIV/0!</v>
      </c>
      <c r="M23" s="75" t="e">
        <f t="shared" si="4"/>
        <v>#DIV/0!</v>
      </c>
      <c r="N23" s="1"/>
      <c r="O23" s="28"/>
      <c r="P23" s="19" t="s">
        <v>39</v>
      </c>
      <c r="Q23" s="31">
        <f t="shared" si="5"/>
        <v>-2</v>
      </c>
      <c r="R23" s="38"/>
      <c r="T23" s="42"/>
      <c r="U23" s="42"/>
      <c r="V23" s="42"/>
      <c r="W23" s="42"/>
      <c r="X23" s="42"/>
      <c r="Y23" s="42"/>
      <c r="Z23" s="42"/>
      <c r="AA23" s="42"/>
      <c r="AO23" s="93">
        <f>COUNTIF(D2:D1048576, "Победитель")</f>
        <v>0</v>
      </c>
      <c r="AP23" s="95">
        <f>COUNTIF(D2:D1048576, "Ничья")</f>
        <v>0</v>
      </c>
      <c r="AQ23" s="95">
        <f>COUNTIF(D2:D1048576, "Двойной шанс")</f>
        <v>0</v>
      </c>
      <c r="AR23" s="95">
        <f>COUNTIF(D2:D1048576, "Победитель (при ничьей - возврат)")</f>
        <v>0</v>
      </c>
      <c r="AS23" s="97">
        <f>COUNTIF(D2:D1048576, "Фора")</f>
        <v>0</v>
      </c>
    </row>
    <row r="24" spans="1:48" ht="15" customHeight="1" thickTop="1" thickBot="1" x14ac:dyDescent="0.35">
      <c r="A24" s="50"/>
      <c r="B24" s="51"/>
      <c r="D24" s="119"/>
      <c r="E24" s="115" t="s">
        <v>16</v>
      </c>
      <c r="F24" s="23"/>
      <c r="G24" s="23"/>
      <c r="H24" s="24" t="e">
        <f t="shared" si="0"/>
        <v>#DIV/0!</v>
      </c>
      <c r="I24" s="33"/>
      <c r="J24" s="21">
        <f t="shared" si="1"/>
        <v>0</v>
      </c>
      <c r="K24" s="24" t="e">
        <f t="shared" si="2"/>
        <v>#DIV/0!</v>
      </c>
      <c r="L24" s="70" t="e">
        <f t="shared" si="3"/>
        <v>#DIV/0!</v>
      </c>
      <c r="M24" s="75" t="e">
        <f t="shared" si="4"/>
        <v>#DIV/0!</v>
      </c>
      <c r="N24" s="1"/>
      <c r="O24" s="28"/>
      <c r="P24" s="19" t="s">
        <v>39</v>
      </c>
      <c r="Q24" s="30">
        <f t="shared" si="5"/>
        <v>-2</v>
      </c>
      <c r="R24" s="38"/>
      <c r="T24" s="42"/>
      <c r="U24" s="42"/>
      <c r="V24" s="42"/>
      <c r="W24" s="42"/>
      <c r="X24" s="42"/>
      <c r="Y24" s="42"/>
      <c r="Z24" s="42"/>
      <c r="AA24" s="42"/>
      <c r="AB24" s="42"/>
      <c r="AO24" s="92" t="s">
        <v>185</v>
      </c>
      <c r="AP24" s="94" t="s">
        <v>186</v>
      </c>
      <c r="AQ24" s="120" t="s">
        <v>187</v>
      </c>
      <c r="AR24" s="94" t="s">
        <v>189</v>
      </c>
      <c r="AS24" s="98" t="s">
        <v>190</v>
      </c>
    </row>
    <row r="25" spans="1:48" ht="15" customHeight="1" thickTop="1" thickBot="1" x14ac:dyDescent="0.35">
      <c r="A25" s="53"/>
      <c r="B25" s="54"/>
      <c r="D25" s="119"/>
      <c r="E25" s="115" t="s">
        <v>16</v>
      </c>
      <c r="F25" s="23"/>
      <c r="G25" s="23"/>
      <c r="H25" s="24" t="e">
        <f t="shared" si="0"/>
        <v>#DIV/0!</v>
      </c>
      <c r="I25" s="33"/>
      <c r="J25" s="21">
        <f t="shared" si="1"/>
        <v>0</v>
      </c>
      <c r="K25" s="24" t="e">
        <f t="shared" si="2"/>
        <v>#DIV/0!</v>
      </c>
      <c r="L25" s="70" t="e">
        <f t="shared" si="3"/>
        <v>#DIV/0!</v>
      </c>
      <c r="M25" s="75" t="e">
        <f t="shared" si="4"/>
        <v>#DIV/0!</v>
      </c>
      <c r="N25" s="1"/>
      <c r="O25" s="28"/>
      <c r="P25" s="19" t="s">
        <v>39</v>
      </c>
      <c r="Q25" s="31">
        <f t="shared" si="5"/>
        <v>-2</v>
      </c>
      <c r="R25" s="38"/>
      <c r="U25" s="59"/>
      <c r="W25" s="60"/>
      <c r="AL25" s="80" t="s">
        <v>242</v>
      </c>
      <c r="AM25" s="12" t="s">
        <v>243</v>
      </c>
      <c r="AO25" s="93">
        <f>COUNTIF(D2:D1048576, "Тотал")</f>
        <v>0</v>
      </c>
      <c r="AP25" s="95">
        <f>COUNTIF(D2:D1048576, "Точный счёт")</f>
        <v>0</v>
      </c>
      <c r="AQ25" s="95">
        <f>COUNTIF(D2:D1048576,"Точный счёт + исход ""Другой""")</f>
        <v>0</v>
      </c>
      <c r="AR25" s="95">
        <f>COUNTIF(D2:D1048576, "Кол-во голов")</f>
        <v>0</v>
      </c>
      <c r="AS25" s="97">
        <f>COUNTIF(D2:D1048576, "Инд. Тотал")</f>
        <v>0</v>
      </c>
    </row>
    <row r="26" spans="1:48" ht="15.75" customHeight="1" thickTop="1" thickBot="1" x14ac:dyDescent="0.35">
      <c r="A26" s="50"/>
      <c r="B26" s="51"/>
      <c r="D26" s="119"/>
      <c r="E26" s="115" t="s">
        <v>16</v>
      </c>
      <c r="F26" s="25"/>
      <c r="G26" s="25"/>
      <c r="H26" s="26" t="e">
        <f>(F26*100)/G26</f>
        <v>#DIV/0!</v>
      </c>
      <c r="I26" s="36"/>
      <c r="J26" s="21">
        <f t="shared" si="1"/>
        <v>0</v>
      </c>
      <c r="K26" s="26" t="e">
        <f t="shared" si="2"/>
        <v>#DIV/0!</v>
      </c>
      <c r="L26" s="72" t="e">
        <f t="shared" si="3"/>
        <v>#DIV/0!</v>
      </c>
      <c r="M26" s="77" t="e">
        <f t="shared" si="4"/>
        <v>#DIV/0!</v>
      </c>
      <c r="N26" s="4"/>
      <c r="O26" s="28"/>
      <c r="P26" s="19" t="s">
        <v>39</v>
      </c>
      <c r="Q26" s="30">
        <f t="shared" si="5"/>
        <v>-2</v>
      </c>
      <c r="R26" s="38"/>
      <c r="AL26" s="139">
        <f>SUM(A2:A71)</f>
        <v>0</v>
      </c>
      <c r="AM26" s="140">
        <f>SUM(B2:B71)</f>
        <v>0</v>
      </c>
      <c r="AO26" s="92" t="s">
        <v>191</v>
      </c>
      <c r="AP26" s="94" t="s">
        <v>192</v>
      </c>
      <c r="AQ26" s="94" t="s">
        <v>193</v>
      </c>
      <c r="AR26" s="94" t="s">
        <v>194</v>
      </c>
      <c r="AS26" s="98" t="s">
        <v>195</v>
      </c>
    </row>
    <row r="27" spans="1:48" ht="15.75" customHeight="1" thickTop="1" thickBot="1" x14ac:dyDescent="0.35">
      <c r="A27" s="50"/>
      <c r="B27" s="51"/>
      <c r="D27" s="119"/>
      <c r="E27" s="115" t="s">
        <v>16</v>
      </c>
      <c r="F27" s="23"/>
      <c r="G27" s="23"/>
      <c r="H27" s="24" t="e">
        <f t="shared" ref="H27:H71" si="6">(F27*100)/G27</f>
        <v>#DIV/0!</v>
      </c>
      <c r="I27" s="33"/>
      <c r="J27" s="21">
        <f t="shared" si="1"/>
        <v>0</v>
      </c>
      <c r="K27" s="24" t="e">
        <f t="shared" si="2"/>
        <v>#DIV/0!</v>
      </c>
      <c r="L27" s="70" t="e">
        <f t="shared" si="3"/>
        <v>#DIV/0!</v>
      </c>
      <c r="M27" s="75" t="e">
        <f t="shared" si="4"/>
        <v>#DIV/0!</v>
      </c>
      <c r="N27" s="1"/>
      <c r="O27" s="28"/>
      <c r="P27" s="19" t="s">
        <v>39</v>
      </c>
      <c r="Q27" s="31">
        <f t="shared" si="5"/>
        <v>-2</v>
      </c>
      <c r="R27" s="38"/>
      <c r="AL27" s="196" t="s">
        <v>244</v>
      </c>
      <c r="AM27" s="197"/>
      <c r="AO27" s="93">
        <f>COUNTIF(D2:D1048576, "Обе команды забьют")</f>
        <v>0</v>
      </c>
      <c r="AP27" s="95">
        <f>COUNTIF(D2:D1048576, "Сколько команд забьёт")</f>
        <v>0</v>
      </c>
      <c r="AQ27" s="95">
        <f>COUNTIF(D2:D1048576, "Кто забьёт 1-й гол")</f>
        <v>0</v>
      </c>
      <c r="AR27" s="95">
        <f>COUNTIF(D2:D1048576, "Кто забьёт последний гол")</f>
        <v>0</v>
      </c>
      <c r="AS27" s="97">
        <f>COUNTIF(D2:D1048576, "Наиболее результативный тайм")</f>
        <v>0</v>
      </c>
    </row>
    <row r="28" spans="1:48" ht="15.75" customHeight="1" thickTop="1" thickBot="1" x14ac:dyDescent="0.35">
      <c r="A28" s="50"/>
      <c r="B28" s="51"/>
      <c r="D28" s="119"/>
      <c r="E28" s="115" t="s">
        <v>16</v>
      </c>
      <c r="F28" s="23"/>
      <c r="G28" s="23"/>
      <c r="H28" s="24" t="e">
        <f t="shared" si="6"/>
        <v>#DIV/0!</v>
      </c>
      <c r="I28" s="33"/>
      <c r="J28" s="21">
        <f t="shared" si="1"/>
        <v>0</v>
      </c>
      <c r="K28" s="24" t="e">
        <f t="shared" si="2"/>
        <v>#DIV/0!</v>
      </c>
      <c r="L28" s="70" t="e">
        <f t="shared" si="3"/>
        <v>#DIV/0!</v>
      </c>
      <c r="M28" s="75" t="e">
        <f t="shared" si="4"/>
        <v>#DIV/0!</v>
      </c>
      <c r="N28" s="1"/>
      <c r="O28" s="28"/>
      <c r="P28" s="19" t="s">
        <v>39</v>
      </c>
      <c r="Q28" s="30">
        <f t="shared" si="5"/>
        <v>-2</v>
      </c>
      <c r="R28" s="38"/>
      <c r="AL28" s="198">
        <f>(AM26-AL26)</f>
        <v>0</v>
      </c>
      <c r="AM28" s="199"/>
      <c r="AO28" s="92" t="s">
        <v>196</v>
      </c>
      <c r="AP28" s="94" t="s">
        <v>197</v>
      </c>
      <c r="AQ28" s="94" t="s">
        <v>198</v>
      </c>
      <c r="AR28" s="94" t="s">
        <v>203</v>
      </c>
      <c r="AS28" s="98" t="s">
        <v>199</v>
      </c>
    </row>
    <row r="29" spans="1:48" ht="15.75" customHeight="1" thickBot="1" x14ac:dyDescent="0.35">
      <c r="A29" s="50"/>
      <c r="B29" s="51"/>
      <c r="D29" s="119"/>
      <c r="E29" s="115" t="s">
        <v>16</v>
      </c>
      <c r="F29" s="23"/>
      <c r="G29" s="23"/>
      <c r="H29" s="24" t="e">
        <f t="shared" si="6"/>
        <v>#DIV/0!</v>
      </c>
      <c r="I29" s="33"/>
      <c r="J29" s="21">
        <f t="shared" si="1"/>
        <v>0</v>
      </c>
      <c r="K29" s="24" t="e">
        <f t="shared" si="2"/>
        <v>#DIV/0!</v>
      </c>
      <c r="L29" s="70" t="e">
        <f t="shared" si="3"/>
        <v>#DIV/0!</v>
      </c>
      <c r="M29" s="75" t="e">
        <f t="shared" si="4"/>
        <v>#DIV/0!</v>
      </c>
      <c r="N29" s="1"/>
      <c r="O29" s="28"/>
      <c r="P29" s="19" t="s">
        <v>39</v>
      </c>
      <c r="Q29" s="31">
        <f t="shared" si="5"/>
        <v>-2</v>
      </c>
      <c r="R29" s="38"/>
      <c r="AO29" s="93">
        <f>COUNTIF(D2:D1048576, "Чет/нечет")</f>
        <v>0</v>
      </c>
      <c r="AP29" s="95">
        <f>COUNTIF(D2:D1048576, "Победитель + Разница мячей")</f>
        <v>0</v>
      </c>
      <c r="AQ29" s="95">
        <f>COUNTIF(D2:D1048576, "Победитель + Обе забьют")</f>
        <v>0</v>
      </c>
      <c r="AR29" s="95">
        <f>COUNTIF(D2:D1048576, "Победитель + Тотал")</f>
        <v>0</v>
      </c>
      <c r="AS29" s="97">
        <f>COUNTIF(D2:D1048576, "Автор гола")</f>
        <v>0</v>
      </c>
    </row>
    <row r="30" spans="1:48" ht="15.75" customHeight="1" thickTop="1" x14ac:dyDescent="0.3">
      <c r="A30" s="50"/>
      <c r="B30" s="51"/>
      <c r="D30" s="119"/>
      <c r="E30" s="115" t="s">
        <v>16</v>
      </c>
      <c r="F30" s="23"/>
      <c r="G30" s="23"/>
      <c r="H30" s="24" t="e">
        <f t="shared" si="6"/>
        <v>#DIV/0!</v>
      </c>
      <c r="I30" s="33"/>
      <c r="J30" s="21">
        <f t="shared" si="1"/>
        <v>0</v>
      </c>
      <c r="K30" s="24" t="e">
        <f t="shared" si="2"/>
        <v>#DIV/0!</v>
      </c>
      <c r="L30" s="70" t="e">
        <f t="shared" si="3"/>
        <v>#DIV/0!</v>
      </c>
      <c r="M30" s="75" t="e">
        <f t="shared" si="4"/>
        <v>#DIV/0!</v>
      </c>
      <c r="N30" s="1"/>
      <c r="O30" s="28"/>
      <c r="P30" s="19" t="s">
        <v>39</v>
      </c>
      <c r="Q30" s="30">
        <f t="shared" si="5"/>
        <v>-2</v>
      </c>
      <c r="R30" s="38"/>
      <c r="AO30" s="92" t="s">
        <v>200</v>
      </c>
      <c r="AP30" s="94" t="s">
        <v>201</v>
      </c>
      <c r="AQ30" s="94"/>
      <c r="AR30" s="94"/>
      <c r="AS30" s="98"/>
    </row>
    <row r="31" spans="1:48" ht="15.75" customHeight="1" thickBot="1" x14ac:dyDescent="0.35">
      <c r="A31" s="50"/>
      <c r="B31" s="54"/>
      <c r="D31" s="119"/>
      <c r="E31" s="115" t="s">
        <v>16</v>
      </c>
      <c r="F31" s="23"/>
      <c r="G31" s="23"/>
      <c r="H31" s="24" t="e">
        <f t="shared" si="6"/>
        <v>#DIV/0!</v>
      </c>
      <c r="I31" s="33"/>
      <c r="J31" s="21">
        <f t="shared" si="1"/>
        <v>0</v>
      </c>
      <c r="K31" s="24" t="e">
        <f t="shared" si="2"/>
        <v>#DIV/0!</v>
      </c>
      <c r="L31" s="70" t="e">
        <f t="shared" si="3"/>
        <v>#DIV/0!</v>
      </c>
      <c r="M31" s="75" t="e">
        <f t="shared" si="4"/>
        <v>#DIV/0!</v>
      </c>
      <c r="N31" s="1"/>
      <c r="O31" s="28"/>
      <c r="P31" s="19" t="s">
        <v>39</v>
      </c>
      <c r="Q31" s="31">
        <f t="shared" si="5"/>
        <v>-2</v>
      </c>
      <c r="R31" s="38"/>
      <c r="AO31" s="121">
        <f>COUNTIF(D2:D1048576, "Лучший бомбардир")</f>
        <v>0</v>
      </c>
      <c r="AP31" s="122">
        <f>COUNTIF(D2:D1048576, "Победитель турнира")</f>
        <v>0</v>
      </c>
      <c r="AQ31" s="122"/>
      <c r="AR31" s="122"/>
      <c r="AS31" s="123"/>
    </row>
    <row r="32" spans="1:48" ht="15.75" customHeight="1" x14ac:dyDescent="0.3">
      <c r="A32" s="55"/>
      <c r="B32" s="51"/>
      <c r="D32" s="119"/>
      <c r="E32" s="115" t="s">
        <v>16</v>
      </c>
      <c r="F32" s="23"/>
      <c r="G32" s="23"/>
      <c r="H32" s="24" t="e">
        <f t="shared" si="6"/>
        <v>#DIV/0!</v>
      </c>
      <c r="I32" s="33"/>
      <c r="J32" s="21">
        <f t="shared" si="1"/>
        <v>0</v>
      </c>
      <c r="K32" s="24" t="e">
        <f t="shared" si="2"/>
        <v>#DIV/0!</v>
      </c>
      <c r="L32" s="70" t="e">
        <f t="shared" si="3"/>
        <v>#DIV/0!</v>
      </c>
      <c r="M32" s="75" t="e">
        <f t="shared" si="4"/>
        <v>#DIV/0!</v>
      </c>
      <c r="N32" s="1"/>
      <c r="O32" s="28"/>
      <c r="P32" s="19" t="s">
        <v>39</v>
      </c>
      <c r="Q32" s="30">
        <f t="shared" si="5"/>
        <v>-2</v>
      </c>
      <c r="R32" s="38"/>
    </row>
    <row r="33" spans="1:18" ht="15" customHeight="1" x14ac:dyDescent="0.3">
      <c r="A33" s="50"/>
      <c r="B33" s="49"/>
      <c r="D33" s="119"/>
      <c r="E33" s="115" t="s">
        <v>16</v>
      </c>
      <c r="F33" s="23"/>
      <c r="G33" s="23"/>
      <c r="H33" s="24" t="e">
        <f t="shared" si="6"/>
        <v>#DIV/0!</v>
      </c>
      <c r="I33" s="33"/>
      <c r="J33" s="21">
        <f t="shared" si="1"/>
        <v>0</v>
      </c>
      <c r="K33" s="24" t="e">
        <f t="shared" si="2"/>
        <v>#DIV/0!</v>
      </c>
      <c r="L33" s="70" t="e">
        <f t="shared" si="3"/>
        <v>#DIV/0!</v>
      </c>
      <c r="M33" s="75" t="e">
        <f t="shared" si="4"/>
        <v>#DIV/0!</v>
      </c>
      <c r="N33" s="1"/>
      <c r="O33" s="28"/>
      <c r="P33" s="19" t="s">
        <v>39</v>
      </c>
      <c r="Q33" s="30">
        <f t="shared" si="5"/>
        <v>-2</v>
      </c>
      <c r="R33" s="38"/>
    </row>
    <row r="34" spans="1:18" ht="15" customHeight="1" x14ac:dyDescent="0.3">
      <c r="A34" s="50"/>
      <c r="B34" s="51"/>
      <c r="D34" s="119"/>
      <c r="E34" s="115" t="s">
        <v>16</v>
      </c>
      <c r="F34" s="23"/>
      <c r="G34" s="23"/>
      <c r="H34" s="24" t="e">
        <f t="shared" si="6"/>
        <v>#DIV/0!</v>
      </c>
      <c r="I34" s="33"/>
      <c r="J34" s="21">
        <f t="shared" si="1"/>
        <v>0</v>
      </c>
      <c r="K34" s="24" t="e">
        <f t="shared" si="2"/>
        <v>#DIV/0!</v>
      </c>
      <c r="L34" s="70" t="e">
        <f t="shared" si="3"/>
        <v>#DIV/0!</v>
      </c>
      <c r="M34" s="75" t="e">
        <f t="shared" si="4"/>
        <v>#DIV/0!</v>
      </c>
      <c r="N34" s="1"/>
      <c r="O34" s="28"/>
      <c r="P34" s="19" t="s">
        <v>39</v>
      </c>
      <c r="Q34" s="30">
        <f t="shared" si="5"/>
        <v>-2</v>
      </c>
      <c r="R34" s="38"/>
    </row>
    <row r="35" spans="1:18" ht="15" customHeight="1" x14ac:dyDescent="0.3">
      <c r="A35" s="50"/>
      <c r="B35" s="51"/>
      <c r="D35" s="119"/>
      <c r="E35" s="115" t="s">
        <v>16</v>
      </c>
      <c r="F35" s="23"/>
      <c r="G35" s="23"/>
      <c r="H35" s="24" t="e">
        <f t="shared" si="6"/>
        <v>#DIV/0!</v>
      </c>
      <c r="I35" s="33"/>
      <c r="J35" s="21">
        <f t="shared" si="1"/>
        <v>0</v>
      </c>
      <c r="K35" s="24" t="e">
        <f t="shared" si="2"/>
        <v>#DIV/0!</v>
      </c>
      <c r="L35" s="70" t="e">
        <f t="shared" si="3"/>
        <v>#DIV/0!</v>
      </c>
      <c r="M35" s="75" t="e">
        <f t="shared" si="4"/>
        <v>#DIV/0!</v>
      </c>
      <c r="N35" s="1"/>
      <c r="O35" s="28"/>
      <c r="P35" s="19" t="s">
        <v>39</v>
      </c>
      <c r="Q35" s="30">
        <f t="shared" si="5"/>
        <v>-2</v>
      </c>
      <c r="R35" s="38"/>
    </row>
    <row r="36" spans="1:18" ht="15" customHeight="1" x14ac:dyDescent="0.3">
      <c r="A36" s="50"/>
      <c r="B36" s="51"/>
      <c r="D36" s="119"/>
      <c r="E36" s="115" t="s">
        <v>16</v>
      </c>
      <c r="F36" s="23"/>
      <c r="G36" s="23"/>
      <c r="H36" s="24" t="e">
        <f t="shared" si="6"/>
        <v>#DIV/0!</v>
      </c>
      <c r="I36" s="33"/>
      <c r="J36" s="21">
        <f t="shared" si="1"/>
        <v>0</v>
      </c>
      <c r="K36" s="24" t="e">
        <f t="shared" si="2"/>
        <v>#DIV/0!</v>
      </c>
      <c r="L36" s="70" t="e">
        <f t="shared" si="3"/>
        <v>#DIV/0!</v>
      </c>
      <c r="M36" s="75" t="e">
        <f t="shared" si="4"/>
        <v>#DIV/0!</v>
      </c>
      <c r="N36" s="1"/>
      <c r="O36" s="28"/>
      <c r="P36" s="19" t="s">
        <v>39</v>
      </c>
      <c r="Q36" s="30">
        <f t="shared" si="5"/>
        <v>-2</v>
      </c>
      <c r="R36" s="38"/>
    </row>
    <row r="37" spans="1:18" ht="15" customHeight="1" x14ac:dyDescent="0.3">
      <c r="A37" s="50"/>
      <c r="B37" s="51"/>
      <c r="D37" s="119"/>
      <c r="E37" s="115" t="s">
        <v>16</v>
      </c>
      <c r="F37" s="23"/>
      <c r="G37" s="23"/>
      <c r="H37" s="24" t="e">
        <f t="shared" si="6"/>
        <v>#DIV/0!</v>
      </c>
      <c r="I37" s="33"/>
      <c r="J37" s="21">
        <f t="shared" si="1"/>
        <v>0</v>
      </c>
      <c r="K37" s="24" t="e">
        <f t="shared" si="2"/>
        <v>#DIV/0!</v>
      </c>
      <c r="L37" s="70" t="e">
        <f t="shared" si="3"/>
        <v>#DIV/0!</v>
      </c>
      <c r="M37" s="75" t="e">
        <f t="shared" si="4"/>
        <v>#DIV/0!</v>
      </c>
      <c r="N37" s="1"/>
      <c r="O37" s="28"/>
      <c r="P37" s="19" t="s">
        <v>39</v>
      </c>
      <c r="Q37" s="30">
        <f t="shared" si="5"/>
        <v>-2</v>
      </c>
      <c r="R37" s="38"/>
    </row>
    <row r="38" spans="1:18" ht="15" customHeight="1" x14ac:dyDescent="0.3">
      <c r="A38" s="50"/>
      <c r="B38" s="51"/>
      <c r="D38" s="119"/>
      <c r="E38" s="115" t="s">
        <v>16</v>
      </c>
      <c r="F38" s="23"/>
      <c r="G38" s="23"/>
      <c r="H38" s="24" t="e">
        <f t="shared" si="6"/>
        <v>#DIV/0!</v>
      </c>
      <c r="I38" s="33"/>
      <c r="J38" s="21">
        <f t="shared" si="1"/>
        <v>0</v>
      </c>
      <c r="K38" s="24" t="e">
        <f t="shared" si="2"/>
        <v>#DIV/0!</v>
      </c>
      <c r="L38" s="70" t="e">
        <f t="shared" si="3"/>
        <v>#DIV/0!</v>
      </c>
      <c r="M38" s="75" t="e">
        <f t="shared" si="4"/>
        <v>#DIV/0!</v>
      </c>
      <c r="N38" s="1"/>
      <c r="O38" s="28"/>
      <c r="P38" s="19" t="s">
        <v>39</v>
      </c>
      <c r="Q38" s="30">
        <f t="shared" si="5"/>
        <v>-2</v>
      </c>
      <c r="R38" s="38"/>
    </row>
    <row r="39" spans="1:18" ht="15" customHeight="1" x14ac:dyDescent="0.3">
      <c r="A39" s="50"/>
      <c r="B39" s="51"/>
      <c r="D39" s="119"/>
      <c r="E39" s="115" t="s">
        <v>16</v>
      </c>
      <c r="F39" s="23"/>
      <c r="G39" s="23"/>
      <c r="H39" s="24" t="e">
        <f t="shared" si="6"/>
        <v>#DIV/0!</v>
      </c>
      <c r="I39" s="33"/>
      <c r="J39" s="21">
        <f t="shared" si="1"/>
        <v>0</v>
      </c>
      <c r="K39" s="24" t="e">
        <f t="shared" si="2"/>
        <v>#DIV/0!</v>
      </c>
      <c r="L39" s="70" t="e">
        <f t="shared" si="3"/>
        <v>#DIV/0!</v>
      </c>
      <c r="M39" s="75" t="e">
        <f t="shared" si="4"/>
        <v>#DIV/0!</v>
      </c>
      <c r="N39" s="1"/>
      <c r="O39" s="28"/>
      <c r="P39" s="19" t="s">
        <v>39</v>
      </c>
      <c r="Q39" s="30">
        <f t="shared" si="5"/>
        <v>-2</v>
      </c>
      <c r="R39" s="38"/>
    </row>
    <row r="40" spans="1:18" ht="15" customHeight="1" x14ac:dyDescent="0.3">
      <c r="A40" s="50"/>
      <c r="B40" s="51"/>
      <c r="D40" s="119"/>
      <c r="E40" s="115" t="s">
        <v>16</v>
      </c>
      <c r="F40" s="23"/>
      <c r="G40" s="23"/>
      <c r="H40" s="24" t="e">
        <f t="shared" si="6"/>
        <v>#DIV/0!</v>
      </c>
      <c r="I40" s="33"/>
      <c r="J40" s="21">
        <f t="shared" si="1"/>
        <v>0</v>
      </c>
      <c r="K40" s="24" t="e">
        <f t="shared" si="2"/>
        <v>#DIV/0!</v>
      </c>
      <c r="L40" s="70" t="e">
        <f t="shared" si="3"/>
        <v>#DIV/0!</v>
      </c>
      <c r="M40" s="75" t="e">
        <f t="shared" si="4"/>
        <v>#DIV/0!</v>
      </c>
      <c r="N40" s="1"/>
      <c r="O40" s="28"/>
      <c r="P40" s="19" t="s">
        <v>39</v>
      </c>
      <c r="Q40" s="30">
        <f t="shared" si="5"/>
        <v>-2</v>
      </c>
      <c r="R40" s="38"/>
    </row>
    <row r="41" spans="1:18" ht="15" customHeight="1" x14ac:dyDescent="0.3">
      <c r="A41" s="50"/>
      <c r="B41" s="51"/>
      <c r="D41" s="119"/>
      <c r="E41" s="115" t="s">
        <v>16</v>
      </c>
      <c r="F41" s="23"/>
      <c r="G41" s="23"/>
      <c r="H41" s="24" t="e">
        <f t="shared" si="6"/>
        <v>#DIV/0!</v>
      </c>
      <c r="I41" s="33"/>
      <c r="J41" s="21">
        <f t="shared" si="1"/>
        <v>0</v>
      </c>
      <c r="K41" s="24" t="e">
        <f t="shared" si="2"/>
        <v>#DIV/0!</v>
      </c>
      <c r="L41" s="70" t="e">
        <f t="shared" si="3"/>
        <v>#DIV/0!</v>
      </c>
      <c r="M41" s="75" t="e">
        <f t="shared" si="4"/>
        <v>#DIV/0!</v>
      </c>
      <c r="N41" s="1"/>
      <c r="O41" s="28"/>
      <c r="P41" s="19" t="s">
        <v>39</v>
      </c>
      <c r="Q41" s="30">
        <f t="shared" si="5"/>
        <v>-2</v>
      </c>
      <c r="R41" s="38"/>
    </row>
    <row r="42" spans="1:18" ht="15" customHeight="1" x14ac:dyDescent="0.3">
      <c r="A42" s="50"/>
      <c r="B42" s="51"/>
      <c r="D42" s="119"/>
      <c r="E42" s="115" t="s">
        <v>16</v>
      </c>
      <c r="F42" s="23"/>
      <c r="G42" s="23"/>
      <c r="H42" s="24" t="e">
        <f t="shared" si="6"/>
        <v>#DIV/0!</v>
      </c>
      <c r="I42" s="33"/>
      <c r="J42" s="21">
        <f t="shared" si="1"/>
        <v>0</v>
      </c>
      <c r="K42" s="24" t="e">
        <f t="shared" si="2"/>
        <v>#DIV/0!</v>
      </c>
      <c r="L42" s="70" t="e">
        <f t="shared" si="3"/>
        <v>#DIV/0!</v>
      </c>
      <c r="M42" s="75" t="e">
        <f t="shared" si="4"/>
        <v>#DIV/0!</v>
      </c>
      <c r="N42" s="1"/>
      <c r="O42" s="28"/>
      <c r="P42" s="19" t="s">
        <v>39</v>
      </c>
      <c r="Q42" s="30">
        <f t="shared" si="5"/>
        <v>-2</v>
      </c>
      <c r="R42" s="38"/>
    </row>
    <row r="43" spans="1:18" ht="15" customHeight="1" x14ac:dyDescent="0.3">
      <c r="A43" s="50"/>
      <c r="B43" s="51"/>
      <c r="D43" s="119"/>
      <c r="E43" s="115" t="s">
        <v>16</v>
      </c>
      <c r="F43" s="23"/>
      <c r="G43" s="23"/>
      <c r="H43" s="24" t="e">
        <f t="shared" si="6"/>
        <v>#DIV/0!</v>
      </c>
      <c r="I43" s="33"/>
      <c r="J43" s="21">
        <f t="shared" si="1"/>
        <v>0</v>
      </c>
      <c r="K43" s="24" t="e">
        <f t="shared" si="2"/>
        <v>#DIV/0!</v>
      </c>
      <c r="L43" s="70" t="e">
        <f t="shared" si="3"/>
        <v>#DIV/0!</v>
      </c>
      <c r="M43" s="75" t="e">
        <f t="shared" si="4"/>
        <v>#DIV/0!</v>
      </c>
      <c r="N43" s="1"/>
      <c r="O43" s="28"/>
      <c r="P43" s="19" t="s">
        <v>39</v>
      </c>
      <c r="Q43" s="30">
        <f t="shared" si="5"/>
        <v>-2</v>
      </c>
      <c r="R43" s="38"/>
    </row>
    <row r="44" spans="1:18" ht="15" customHeight="1" x14ac:dyDescent="0.3">
      <c r="A44" s="50"/>
      <c r="B44" s="51"/>
      <c r="D44" s="119"/>
      <c r="E44" s="115" t="s">
        <v>16</v>
      </c>
      <c r="F44" s="23"/>
      <c r="G44" s="23"/>
      <c r="H44" s="24" t="e">
        <f t="shared" si="6"/>
        <v>#DIV/0!</v>
      </c>
      <c r="I44" s="33"/>
      <c r="J44" s="21">
        <f t="shared" si="1"/>
        <v>0</v>
      </c>
      <c r="K44" s="24" t="e">
        <f t="shared" si="2"/>
        <v>#DIV/0!</v>
      </c>
      <c r="L44" s="70" t="e">
        <f t="shared" si="3"/>
        <v>#DIV/0!</v>
      </c>
      <c r="M44" s="75" t="e">
        <f t="shared" si="4"/>
        <v>#DIV/0!</v>
      </c>
      <c r="N44" s="1"/>
      <c r="O44" s="28"/>
      <c r="P44" s="19" t="s">
        <v>39</v>
      </c>
      <c r="Q44" s="30">
        <f t="shared" si="5"/>
        <v>-2</v>
      </c>
      <c r="R44" s="38"/>
    </row>
    <row r="45" spans="1:18" x14ac:dyDescent="0.3">
      <c r="A45" s="50"/>
      <c r="B45" s="51"/>
      <c r="D45" s="119"/>
      <c r="E45" s="115" t="s">
        <v>16</v>
      </c>
      <c r="F45" s="23"/>
      <c r="G45" s="23"/>
      <c r="H45" s="24" t="e">
        <f t="shared" si="6"/>
        <v>#DIV/0!</v>
      </c>
      <c r="I45" s="33"/>
      <c r="J45" s="21">
        <f t="shared" si="1"/>
        <v>0</v>
      </c>
      <c r="K45" s="24" t="e">
        <f t="shared" si="2"/>
        <v>#DIV/0!</v>
      </c>
      <c r="L45" s="70" t="e">
        <f t="shared" si="3"/>
        <v>#DIV/0!</v>
      </c>
      <c r="M45" s="75" t="e">
        <f t="shared" si="4"/>
        <v>#DIV/0!</v>
      </c>
      <c r="N45" s="1"/>
      <c r="O45" s="28"/>
      <c r="P45" s="19" t="s">
        <v>39</v>
      </c>
      <c r="Q45" s="30">
        <f t="shared" si="5"/>
        <v>-2</v>
      </c>
      <c r="R45" s="38"/>
    </row>
    <row r="46" spans="1:18" x14ac:dyDescent="0.3">
      <c r="A46" s="50"/>
      <c r="B46" s="51"/>
      <c r="D46" s="119"/>
      <c r="E46" s="115" t="s">
        <v>16</v>
      </c>
      <c r="F46" s="23"/>
      <c r="G46" s="23"/>
      <c r="H46" s="24" t="e">
        <f t="shared" si="6"/>
        <v>#DIV/0!</v>
      </c>
      <c r="I46" s="33"/>
      <c r="J46" s="21">
        <f t="shared" si="1"/>
        <v>0</v>
      </c>
      <c r="K46" s="24" t="e">
        <f t="shared" si="2"/>
        <v>#DIV/0!</v>
      </c>
      <c r="L46" s="70" t="e">
        <f t="shared" si="3"/>
        <v>#DIV/0!</v>
      </c>
      <c r="M46" s="75" t="e">
        <f t="shared" si="4"/>
        <v>#DIV/0!</v>
      </c>
      <c r="N46" s="1"/>
      <c r="O46" s="28"/>
      <c r="P46" s="19" t="s">
        <v>39</v>
      </c>
      <c r="Q46" s="30">
        <f t="shared" si="5"/>
        <v>-2</v>
      </c>
      <c r="R46" s="38"/>
    </row>
    <row r="47" spans="1:18" x14ac:dyDescent="0.3">
      <c r="A47" s="50"/>
      <c r="B47" s="51"/>
      <c r="D47" s="119"/>
      <c r="E47" s="115" t="s">
        <v>16</v>
      </c>
      <c r="F47" s="23"/>
      <c r="G47" s="23"/>
      <c r="H47" s="24" t="e">
        <f t="shared" si="6"/>
        <v>#DIV/0!</v>
      </c>
      <c r="I47" s="33"/>
      <c r="J47" s="21">
        <f t="shared" si="1"/>
        <v>0</v>
      </c>
      <c r="K47" s="24" t="e">
        <f t="shared" si="2"/>
        <v>#DIV/0!</v>
      </c>
      <c r="L47" s="70" t="e">
        <f t="shared" si="3"/>
        <v>#DIV/0!</v>
      </c>
      <c r="M47" s="75" t="e">
        <f t="shared" si="4"/>
        <v>#DIV/0!</v>
      </c>
      <c r="N47" s="1"/>
      <c r="O47" s="28"/>
      <c r="P47" s="19" t="s">
        <v>39</v>
      </c>
      <c r="Q47" s="30">
        <f t="shared" si="5"/>
        <v>-2</v>
      </c>
      <c r="R47" s="38"/>
    </row>
    <row r="48" spans="1:18" x14ac:dyDescent="0.3">
      <c r="A48" s="50"/>
      <c r="B48" s="51"/>
      <c r="D48" s="119"/>
      <c r="E48" s="115" t="s">
        <v>16</v>
      </c>
      <c r="F48" s="23"/>
      <c r="G48" s="23"/>
      <c r="H48" s="24" t="e">
        <f t="shared" si="6"/>
        <v>#DIV/0!</v>
      </c>
      <c r="I48" s="33"/>
      <c r="J48" s="21">
        <f t="shared" si="1"/>
        <v>0</v>
      </c>
      <c r="K48" s="24" t="e">
        <f t="shared" si="2"/>
        <v>#DIV/0!</v>
      </c>
      <c r="L48" s="70" t="e">
        <f t="shared" si="3"/>
        <v>#DIV/0!</v>
      </c>
      <c r="M48" s="75" t="e">
        <f t="shared" si="4"/>
        <v>#DIV/0!</v>
      </c>
      <c r="N48" s="1"/>
      <c r="O48" s="28"/>
      <c r="P48" s="19" t="s">
        <v>39</v>
      </c>
      <c r="Q48" s="30">
        <f t="shared" si="5"/>
        <v>-2</v>
      </c>
      <c r="R48" s="38"/>
    </row>
    <row r="49" spans="1:18" x14ac:dyDescent="0.3">
      <c r="A49" s="53"/>
      <c r="B49" s="54"/>
      <c r="D49" s="119"/>
      <c r="E49" s="115" t="s">
        <v>16</v>
      </c>
      <c r="F49" s="23"/>
      <c r="G49" s="23"/>
      <c r="H49" s="24" t="e">
        <f t="shared" si="6"/>
        <v>#DIV/0!</v>
      </c>
      <c r="I49" s="33"/>
      <c r="J49" s="21">
        <f t="shared" si="1"/>
        <v>0</v>
      </c>
      <c r="K49" s="24" t="e">
        <f t="shared" si="2"/>
        <v>#DIV/0!</v>
      </c>
      <c r="L49" s="70" t="e">
        <f t="shared" si="3"/>
        <v>#DIV/0!</v>
      </c>
      <c r="M49" s="75" t="e">
        <f t="shared" si="4"/>
        <v>#DIV/0!</v>
      </c>
      <c r="N49" s="1"/>
      <c r="O49" s="28"/>
      <c r="P49" s="19" t="s">
        <v>39</v>
      </c>
      <c r="Q49" s="30">
        <f t="shared" si="5"/>
        <v>-2</v>
      </c>
      <c r="R49" s="38"/>
    </row>
    <row r="50" spans="1:18" x14ac:dyDescent="0.3">
      <c r="A50" s="50"/>
      <c r="B50" s="51"/>
      <c r="D50" s="119"/>
      <c r="E50" s="115" t="s">
        <v>16</v>
      </c>
      <c r="F50" s="23"/>
      <c r="G50" s="23"/>
      <c r="H50" s="24" t="e">
        <f t="shared" si="6"/>
        <v>#DIV/0!</v>
      </c>
      <c r="I50" s="33"/>
      <c r="J50" s="21">
        <f t="shared" si="1"/>
        <v>0</v>
      </c>
      <c r="K50" s="24" t="e">
        <f t="shared" si="2"/>
        <v>#DIV/0!</v>
      </c>
      <c r="L50" s="70" t="e">
        <f t="shared" si="3"/>
        <v>#DIV/0!</v>
      </c>
      <c r="M50" s="75" t="e">
        <f t="shared" si="4"/>
        <v>#DIV/0!</v>
      </c>
      <c r="N50" s="1"/>
      <c r="O50" s="28"/>
      <c r="P50" s="19" t="s">
        <v>39</v>
      </c>
      <c r="Q50" s="30">
        <f t="shared" si="5"/>
        <v>-2</v>
      </c>
      <c r="R50" s="38"/>
    </row>
    <row r="51" spans="1:18" x14ac:dyDescent="0.3">
      <c r="A51" s="48"/>
      <c r="B51" s="49"/>
      <c r="D51" s="119"/>
      <c r="E51" s="115" t="s">
        <v>16</v>
      </c>
      <c r="F51" s="23"/>
      <c r="G51" s="23"/>
      <c r="H51" s="24" t="e">
        <f t="shared" si="6"/>
        <v>#DIV/0!</v>
      </c>
      <c r="I51" s="33"/>
      <c r="J51" s="21">
        <f t="shared" si="1"/>
        <v>0</v>
      </c>
      <c r="K51" s="24" t="e">
        <f t="shared" si="2"/>
        <v>#DIV/0!</v>
      </c>
      <c r="L51" s="70" t="e">
        <f t="shared" si="3"/>
        <v>#DIV/0!</v>
      </c>
      <c r="M51" s="75" t="e">
        <f t="shared" si="4"/>
        <v>#DIV/0!</v>
      </c>
      <c r="N51" s="1"/>
      <c r="O51" s="28"/>
      <c r="P51" s="19" t="s">
        <v>39</v>
      </c>
      <c r="Q51" s="30">
        <f t="shared" si="5"/>
        <v>-2</v>
      </c>
      <c r="R51" s="38"/>
    </row>
    <row r="52" spans="1:18" x14ac:dyDescent="0.3">
      <c r="A52" s="64"/>
      <c r="B52" s="65"/>
      <c r="D52" s="119"/>
      <c r="E52" s="115" t="s">
        <v>16</v>
      </c>
      <c r="F52" s="23"/>
      <c r="G52" s="23"/>
      <c r="H52" s="24" t="e">
        <f t="shared" si="6"/>
        <v>#DIV/0!</v>
      </c>
      <c r="I52" s="33"/>
      <c r="J52" s="21">
        <f t="shared" si="1"/>
        <v>0</v>
      </c>
      <c r="K52" s="24" t="e">
        <f t="shared" si="2"/>
        <v>#DIV/0!</v>
      </c>
      <c r="L52" s="70" t="e">
        <f t="shared" si="3"/>
        <v>#DIV/0!</v>
      </c>
      <c r="M52" s="75" t="e">
        <f t="shared" si="4"/>
        <v>#DIV/0!</v>
      </c>
      <c r="N52" s="1"/>
      <c r="O52" s="28"/>
      <c r="P52" s="19" t="s">
        <v>39</v>
      </c>
      <c r="Q52" s="30">
        <f t="shared" si="5"/>
        <v>-2</v>
      </c>
      <c r="R52" s="38"/>
    </row>
    <row r="53" spans="1:18" x14ac:dyDescent="0.3">
      <c r="A53" s="64"/>
      <c r="B53" s="65"/>
      <c r="D53" s="119"/>
      <c r="E53" s="115" t="s">
        <v>16</v>
      </c>
      <c r="F53" s="23"/>
      <c r="G53" s="23"/>
      <c r="H53" s="24" t="e">
        <f t="shared" si="6"/>
        <v>#DIV/0!</v>
      </c>
      <c r="I53" s="33"/>
      <c r="J53" s="21">
        <f t="shared" si="1"/>
        <v>0</v>
      </c>
      <c r="K53" s="24" t="e">
        <f t="shared" si="2"/>
        <v>#DIV/0!</v>
      </c>
      <c r="L53" s="70" t="e">
        <f t="shared" si="3"/>
        <v>#DIV/0!</v>
      </c>
      <c r="M53" s="75" t="e">
        <f t="shared" si="4"/>
        <v>#DIV/0!</v>
      </c>
      <c r="N53" s="1"/>
      <c r="O53" s="28"/>
      <c r="P53" s="19" t="s">
        <v>39</v>
      </c>
      <c r="Q53" s="30">
        <f t="shared" si="5"/>
        <v>-2</v>
      </c>
      <c r="R53" s="38"/>
    </row>
    <row r="54" spans="1:18" x14ac:dyDescent="0.3">
      <c r="A54" s="64"/>
      <c r="B54" s="65"/>
      <c r="D54" s="119"/>
      <c r="E54" s="115" t="s">
        <v>16</v>
      </c>
      <c r="F54" s="23"/>
      <c r="G54" s="23"/>
      <c r="H54" s="24" t="e">
        <f t="shared" si="6"/>
        <v>#DIV/0!</v>
      </c>
      <c r="I54" s="33"/>
      <c r="J54" s="21">
        <f t="shared" si="1"/>
        <v>0</v>
      </c>
      <c r="K54" s="24" t="e">
        <f t="shared" si="2"/>
        <v>#DIV/0!</v>
      </c>
      <c r="L54" s="70" t="e">
        <f t="shared" si="3"/>
        <v>#DIV/0!</v>
      </c>
      <c r="M54" s="75" t="e">
        <f t="shared" si="4"/>
        <v>#DIV/0!</v>
      </c>
      <c r="N54" s="1"/>
      <c r="O54" s="28"/>
      <c r="P54" s="19" t="s">
        <v>39</v>
      </c>
      <c r="Q54" s="30">
        <f t="shared" si="5"/>
        <v>-2</v>
      </c>
      <c r="R54" s="38"/>
    </row>
    <row r="55" spans="1:18" x14ac:dyDescent="0.3">
      <c r="A55" s="64"/>
      <c r="B55" s="65"/>
      <c r="D55" s="119"/>
      <c r="E55" s="115" t="s">
        <v>16</v>
      </c>
      <c r="F55" s="23"/>
      <c r="G55" s="23"/>
      <c r="H55" s="24" t="e">
        <f t="shared" si="6"/>
        <v>#DIV/0!</v>
      </c>
      <c r="I55" s="33"/>
      <c r="J55" s="21">
        <f t="shared" si="1"/>
        <v>0</v>
      </c>
      <c r="K55" s="24" t="e">
        <f t="shared" si="2"/>
        <v>#DIV/0!</v>
      </c>
      <c r="L55" s="70" t="e">
        <f t="shared" si="3"/>
        <v>#DIV/0!</v>
      </c>
      <c r="M55" s="75" t="e">
        <f t="shared" si="4"/>
        <v>#DIV/0!</v>
      </c>
      <c r="N55" s="1"/>
      <c r="O55" s="28"/>
      <c r="P55" s="19" t="s">
        <v>39</v>
      </c>
      <c r="Q55" s="30">
        <f t="shared" si="5"/>
        <v>-2</v>
      </c>
      <c r="R55" s="38"/>
    </row>
    <row r="56" spans="1:18" x14ac:dyDescent="0.3">
      <c r="A56" s="64"/>
      <c r="B56" s="65"/>
      <c r="D56" s="119"/>
      <c r="E56" s="115" t="s">
        <v>16</v>
      </c>
      <c r="F56" s="23"/>
      <c r="G56" s="23"/>
      <c r="H56" s="24" t="e">
        <f t="shared" si="6"/>
        <v>#DIV/0!</v>
      </c>
      <c r="I56" s="33"/>
      <c r="J56" s="21">
        <f t="shared" si="1"/>
        <v>0</v>
      </c>
      <c r="K56" s="24" t="e">
        <f t="shared" si="2"/>
        <v>#DIV/0!</v>
      </c>
      <c r="L56" s="70" t="e">
        <f t="shared" si="3"/>
        <v>#DIV/0!</v>
      </c>
      <c r="M56" s="75" t="e">
        <f t="shared" si="4"/>
        <v>#DIV/0!</v>
      </c>
      <c r="N56" s="1"/>
      <c r="O56" s="28"/>
      <c r="P56" s="19" t="s">
        <v>39</v>
      </c>
      <c r="Q56" s="30">
        <f t="shared" si="5"/>
        <v>-2</v>
      </c>
      <c r="R56" s="38"/>
    </row>
    <row r="57" spans="1:18" x14ac:dyDescent="0.3">
      <c r="A57" s="64"/>
      <c r="B57" s="65"/>
      <c r="D57" s="119"/>
      <c r="E57" s="115" t="s">
        <v>16</v>
      </c>
      <c r="F57" s="23"/>
      <c r="G57" s="23"/>
      <c r="H57" s="24" t="e">
        <f t="shared" si="6"/>
        <v>#DIV/0!</v>
      </c>
      <c r="I57" s="33"/>
      <c r="J57" s="21">
        <f t="shared" si="1"/>
        <v>0</v>
      </c>
      <c r="K57" s="24" t="e">
        <f t="shared" si="2"/>
        <v>#DIV/0!</v>
      </c>
      <c r="L57" s="70" t="e">
        <f t="shared" si="3"/>
        <v>#DIV/0!</v>
      </c>
      <c r="M57" s="75" t="e">
        <f t="shared" si="4"/>
        <v>#DIV/0!</v>
      </c>
      <c r="N57" s="1"/>
      <c r="O57" s="28"/>
      <c r="P57" s="19" t="s">
        <v>39</v>
      </c>
      <c r="Q57" s="30">
        <f t="shared" si="5"/>
        <v>-2</v>
      </c>
      <c r="R57" s="38"/>
    </row>
    <row r="58" spans="1:18" x14ac:dyDescent="0.3">
      <c r="A58" s="64"/>
      <c r="B58" s="65"/>
      <c r="D58" s="119"/>
      <c r="E58" s="115" t="s">
        <v>16</v>
      </c>
      <c r="F58" s="23"/>
      <c r="G58" s="23"/>
      <c r="H58" s="24" t="e">
        <f t="shared" si="6"/>
        <v>#DIV/0!</v>
      </c>
      <c r="I58" s="33"/>
      <c r="J58" s="21">
        <f t="shared" si="1"/>
        <v>0</v>
      </c>
      <c r="K58" s="24" t="e">
        <f t="shared" si="2"/>
        <v>#DIV/0!</v>
      </c>
      <c r="L58" s="70" t="e">
        <f t="shared" si="3"/>
        <v>#DIV/0!</v>
      </c>
      <c r="M58" s="75" t="e">
        <f t="shared" si="4"/>
        <v>#DIV/0!</v>
      </c>
      <c r="N58" s="1"/>
      <c r="O58" s="28"/>
      <c r="P58" s="19" t="s">
        <v>39</v>
      </c>
      <c r="Q58" s="30">
        <f t="shared" si="5"/>
        <v>-2</v>
      </c>
      <c r="R58" s="38"/>
    </row>
    <row r="59" spans="1:18" x14ac:dyDescent="0.3">
      <c r="A59" s="64"/>
      <c r="B59" s="65"/>
      <c r="D59" s="119"/>
      <c r="E59" s="115" t="s">
        <v>16</v>
      </c>
      <c r="F59" s="23"/>
      <c r="G59" s="23"/>
      <c r="H59" s="24" t="e">
        <f t="shared" si="6"/>
        <v>#DIV/0!</v>
      </c>
      <c r="I59" s="33"/>
      <c r="J59" s="21">
        <f t="shared" si="1"/>
        <v>0</v>
      </c>
      <c r="K59" s="24" t="e">
        <f t="shared" si="2"/>
        <v>#DIV/0!</v>
      </c>
      <c r="L59" s="70" t="e">
        <f t="shared" si="3"/>
        <v>#DIV/0!</v>
      </c>
      <c r="M59" s="75" t="e">
        <f t="shared" si="4"/>
        <v>#DIV/0!</v>
      </c>
      <c r="N59" s="1"/>
      <c r="O59" s="28"/>
      <c r="P59" s="19" t="s">
        <v>39</v>
      </c>
      <c r="Q59" s="30">
        <f t="shared" si="5"/>
        <v>-2</v>
      </c>
      <c r="R59" s="38"/>
    </row>
    <row r="60" spans="1:18" x14ac:dyDescent="0.3">
      <c r="A60" s="64"/>
      <c r="B60" s="65"/>
      <c r="D60" s="119"/>
      <c r="E60" s="115" t="s">
        <v>16</v>
      </c>
      <c r="F60" s="23"/>
      <c r="G60" s="23"/>
      <c r="H60" s="24" t="e">
        <f t="shared" si="6"/>
        <v>#DIV/0!</v>
      </c>
      <c r="I60" s="33"/>
      <c r="J60" s="21">
        <f t="shared" si="1"/>
        <v>0</v>
      </c>
      <c r="K60" s="24" t="e">
        <f t="shared" si="2"/>
        <v>#DIV/0!</v>
      </c>
      <c r="L60" s="70" t="e">
        <f t="shared" si="3"/>
        <v>#DIV/0!</v>
      </c>
      <c r="M60" s="75" t="e">
        <f t="shared" si="4"/>
        <v>#DIV/0!</v>
      </c>
      <c r="N60" s="1"/>
      <c r="O60" s="28"/>
      <c r="P60" s="19" t="s">
        <v>39</v>
      </c>
      <c r="Q60" s="30">
        <f t="shared" si="5"/>
        <v>-2</v>
      </c>
      <c r="R60" s="38"/>
    </row>
    <row r="61" spans="1:18" x14ac:dyDescent="0.3">
      <c r="A61" s="64"/>
      <c r="B61" s="65"/>
      <c r="D61" s="119"/>
      <c r="E61" s="115" t="s">
        <v>16</v>
      </c>
      <c r="F61" s="23"/>
      <c r="G61" s="23"/>
      <c r="H61" s="24" t="e">
        <f t="shared" si="6"/>
        <v>#DIV/0!</v>
      </c>
      <c r="I61" s="33"/>
      <c r="J61" s="21">
        <f t="shared" si="1"/>
        <v>0</v>
      </c>
      <c r="K61" s="24" t="e">
        <f t="shared" si="2"/>
        <v>#DIV/0!</v>
      </c>
      <c r="L61" s="70" t="e">
        <f t="shared" si="3"/>
        <v>#DIV/0!</v>
      </c>
      <c r="M61" s="75" t="e">
        <f t="shared" si="4"/>
        <v>#DIV/0!</v>
      </c>
      <c r="N61" s="1"/>
      <c r="O61" s="28"/>
      <c r="P61" s="19" t="s">
        <v>39</v>
      </c>
      <c r="Q61" s="30">
        <f t="shared" si="5"/>
        <v>-2</v>
      </c>
      <c r="R61" s="38"/>
    </row>
    <row r="62" spans="1:18" x14ac:dyDescent="0.3">
      <c r="A62" s="64"/>
      <c r="B62" s="65"/>
      <c r="D62" s="119"/>
      <c r="E62" s="115" t="s">
        <v>16</v>
      </c>
      <c r="F62" s="23"/>
      <c r="G62" s="23"/>
      <c r="H62" s="24" t="e">
        <f t="shared" si="6"/>
        <v>#DIV/0!</v>
      </c>
      <c r="I62" s="33"/>
      <c r="J62" s="21">
        <f t="shared" si="1"/>
        <v>0</v>
      </c>
      <c r="K62" s="24" t="e">
        <f t="shared" si="2"/>
        <v>#DIV/0!</v>
      </c>
      <c r="L62" s="70" t="e">
        <f t="shared" si="3"/>
        <v>#DIV/0!</v>
      </c>
      <c r="M62" s="75" t="e">
        <f t="shared" si="4"/>
        <v>#DIV/0!</v>
      </c>
      <c r="N62" s="1"/>
      <c r="O62" s="28"/>
      <c r="P62" s="19" t="s">
        <v>39</v>
      </c>
      <c r="Q62" s="30">
        <f t="shared" si="5"/>
        <v>-2</v>
      </c>
      <c r="R62" s="38"/>
    </row>
    <row r="63" spans="1:18" x14ac:dyDescent="0.3">
      <c r="A63" s="64"/>
      <c r="B63" s="65"/>
      <c r="D63" s="119"/>
      <c r="E63" s="115" t="s">
        <v>16</v>
      </c>
      <c r="F63" s="23"/>
      <c r="G63" s="23"/>
      <c r="H63" s="24" t="e">
        <f t="shared" si="6"/>
        <v>#DIV/0!</v>
      </c>
      <c r="I63" s="33"/>
      <c r="J63" s="21">
        <f t="shared" si="1"/>
        <v>0</v>
      </c>
      <c r="K63" s="24" t="e">
        <f t="shared" si="2"/>
        <v>#DIV/0!</v>
      </c>
      <c r="L63" s="70" t="e">
        <f t="shared" si="3"/>
        <v>#DIV/0!</v>
      </c>
      <c r="M63" s="75" t="e">
        <f t="shared" si="4"/>
        <v>#DIV/0!</v>
      </c>
      <c r="N63" s="1"/>
      <c r="O63" s="28"/>
      <c r="P63" s="19" t="s">
        <v>39</v>
      </c>
      <c r="Q63" s="30">
        <f t="shared" si="5"/>
        <v>-2</v>
      </c>
      <c r="R63" s="38"/>
    </row>
    <row r="64" spans="1:18" x14ac:dyDescent="0.3">
      <c r="A64" s="64"/>
      <c r="B64" s="65"/>
      <c r="D64" s="119"/>
      <c r="E64" s="115" t="s">
        <v>16</v>
      </c>
      <c r="F64" s="23"/>
      <c r="G64" s="23"/>
      <c r="H64" s="24" t="e">
        <f t="shared" si="6"/>
        <v>#DIV/0!</v>
      </c>
      <c r="I64" s="33"/>
      <c r="J64" s="21">
        <f t="shared" si="1"/>
        <v>0</v>
      </c>
      <c r="K64" s="24" t="e">
        <f t="shared" si="2"/>
        <v>#DIV/0!</v>
      </c>
      <c r="L64" s="70" t="e">
        <f t="shared" si="3"/>
        <v>#DIV/0!</v>
      </c>
      <c r="M64" s="75" t="e">
        <f t="shared" si="4"/>
        <v>#DIV/0!</v>
      </c>
      <c r="N64" s="1"/>
      <c r="O64" s="28"/>
      <c r="P64" s="19" t="s">
        <v>39</v>
      </c>
      <c r="Q64" s="30">
        <f t="shared" si="5"/>
        <v>-2</v>
      </c>
      <c r="R64" s="38"/>
    </row>
    <row r="65" spans="1:18" x14ac:dyDescent="0.3">
      <c r="A65" s="64"/>
      <c r="B65" s="65"/>
      <c r="D65" s="119"/>
      <c r="E65" s="115" t="s">
        <v>16</v>
      </c>
      <c r="F65" s="23"/>
      <c r="G65" s="23"/>
      <c r="H65" s="24" t="e">
        <f t="shared" si="6"/>
        <v>#DIV/0!</v>
      </c>
      <c r="I65" s="33"/>
      <c r="J65" s="21">
        <f t="shared" si="1"/>
        <v>0</v>
      </c>
      <c r="K65" s="24" t="e">
        <f t="shared" si="2"/>
        <v>#DIV/0!</v>
      </c>
      <c r="L65" s="70" t="e">
        <f t="shared" si="3"/>
        <v>#DIV/0!</v>
      </c>
      <c r="M65" s="75" t="e">
        <f t="shared" si="4"/>
        <v>#DIV/0!</v>
      </c>
      <c r="N65" s="1"/>
      <c r="O65" s="28"/>
      <c r="P65" s="19" t="s">
        <v>39</v>
      </c>
      <c r="Q65" s="30">
        <f t="shared" si="5"/>
        <v>-2</v>
      </c>
      <c r="R65" s="38"/>
    </row>
    <row r="66" spans="1:18" x14ac:dyDescent="0.3">
      <c r="A66" s="64"/>
      <c r="B66" s="65"/>
      <c r="D66" s="119"/>
      <c r="E66" s="115" t="s">
        <v>16</v>
      </c>
      <c r="F66" s="23"/>
      <c r="G66" s="23"/>
      <c r="H66" s="24" t="e">
        <f t="shared" si="6"/>
        <v>#DIV/0!</v>
      </c>
      <c r="I66" s="33"/>
      <c r="J66" s="21">
        <f t="shared" si="1"/>
        <v>0</v>
      </c>
      <c r="K66" s="24" t="e">
        <f t="shared" si="2"/>
        <v>#DIV/0!</v>
      </c>
      <c r="L66" s="70" t="e">
        <f t="shared" si="3"/>
        <v>#DIV/0!</v>
      </c>
      <c r="M66" s="75" t="e">
        <f t="shared" si="4"/>
        <v>#DIV/0!</v>
      </c>
      <c r="N66" s="1"/>
      <c r="O66" s="28"/>
      <c r="P66" s="19" t="s">
        <v>39</v>
      </c>
      <c r="Q66" s="30">
        <f t="shared" si="5"/>
        <v>-2</v>
      </c>
      <c r="R66" s="38"/>
    </row>
    <row r="67" spans="1:18" x14ac:dyDescent="0.3">
      <c r="A67" s="64"/>
      <c r="B67" s="65"/>
      <c r="D67" s="119"/>
      <c r="E67" s="115" t="s">
        <v>16</v>
      </c>
      <c r="F67" s="23"/>
      <c r="G67" s="23"/>
      <c r="H67" s="24" t="e">
        <f t="shared" si="6"/>
        <v>#DIV/0!</v>
      </c>
      <c r="I67" s="33"/>
      <c r="J67" s="21">
        <f t="shared" ref="J67:J71" si="7">F67*I67+IF(N67="Фрибет",(F67*I67-F67)-F67*I67)</f>
        <v>0</v>
      </c>
      <c r="K67" s="24" t="e">
        <f t="shared" ref="K67:K71" si="8">((J67*100)/G67)</f>
        <v>#DIV/0!</v>
      </c>
      <c r="L67" s="70" t="e">
        <f t="shared" ref="L67:L71" si="9">1-M67</f>
        <v>#DIV/0!</v>
      </c>
      <c r="M67" s="75" t="e">
        <f t="shared" ref="M67:M71" si="10">1/I67</f>
        <v>#DIV/0!</v>
      </c>
      <c r="N67" s="1"/>
      <c r="O67" s="28"/>
      <c r="P67" s="19" t="s">
        <v>39</v>
      </c>
      <c r="Q67" s="30">
        <f t="shared" si="5"/>
        <v>-2</v>
      </c>
      <c r="R67" s="38"/>
    </row>
    <row r="68" spans="1:18" x14ac:dyDescent="0.3">
      <c r="A68" s="64"/>
      <c r="B68" s="65"/>
      <c r="D68" s="119"/>
      <c r="E68" s="115" t="s">
        <v>16</v>
      </c>
      <c r="F68" s="23"/>
      <c r="G68" s="23"/>
      <c r="H68" s="24" t="e">
        <f t="shared" si="6"/>
        <v>#DIV/0!</v>
      </c>
      <c r="I68" s="33"/>
      <c r="J68" s="21">
        <f t="shared" si="7"/>
        <v>0</v>
      </c>
      <c r="K68" s="24" t="e">
        <f t="shared" si="8"/>
        <v>#DIV/0!</v>
      </c>
      <c r="L68" s="70" t="e">
        <f t="shared" si="9"/>
        <v>#DIV/0!</v>
      </c>
      <c r="M68" s="75" t="e">
        <f t="shared" si="10"/>
        <v>#DIV/0!</v>
      </c>
      <c r="N68" s="1"/>
      <c r="O68" s="28"/>
      <c r="P68" s="19" t="s">
        <v>39</v>
      </c>
      <c r="Q68" s="30">
        <f t="shared" ref="Q68:Q71" si="11">IF(P68="Победа",1)+IF(P68="Поражение",0)+IF(P68="Не ставил",-2)</f>
        <v>-2</v>
      </c>
      <c r="R68" s="38"/>
    </row>
    <row r="69" spans="1:18" x14ac:dyDescent="0.3">
      <c r="A69" s="64"/>
      <c r="B69" s="65"/>
      <c r="D69" s="119"/>
      <c r="E69" s="115" t="s">
        <v>16</v>
      </c>
      <c r="F69" s="23"/>
      <c r="G69" s="23"/>
      <c r="H69" s="24" t="e">
        <f t="shared" si="6"/>
        <v>#DIV/0!</v>
      </c>
      <c r="I69" s="33"/>
      <c r="J69" s="21">
        <f t="shared" si="7"/>
        <v>0</v>
      </c>
      <c r="K69" s="24" t="e">
        <f t="shared" si="8"/>
        <v>#DIV/0!</v>
      </c>
      <c r="L69" s="70" t="e">
        <f t="shared" si="9"/>
        <v>#DIV/0!</v>
      </c>
      <c r="M69" s="75" t="e">
        <f t="shared" si="10"/>
        <v>#DIV/0!</v>
      </c>
      <c r="N69" s="1"/>
      <c r="O69" s="28"/>
      <c r="P69" s="19" t="s">
        <v>39</v>
      </c>
      <c r="Q69" s="30">
        <f t="shared" si="11"/>
        <v>-2</v>
      </c>
      <c r="R69" s="38"/>
    </row>
    <row r="70" spans="1:18" x14ac:dyDescent="0.3">
      <c r="A70" s="64"/>
      <c r="B70" s="65"/>
      <c r="D70" s="119"/>
      <c r="E70" s="115" t="s">
        <v>16</v>
      </c>
      <c r="F70" s="23"/>
      <c r="G70" s="23"/>
      <c r="H70" s="24" t="e">
        <f t="shared" si="6"/>
        <v>#DIV/0!</v>
      </c>
      <c r="I70" s="33"/>
      <c r="J70" s="21">
        <f t="shared" si="7"/>
        <v>0</v>
      </c>
      <c r="K70" s="24" t="e">
        <f t="shared" si="8"/>
        <v>#DIV/0!</v>
      </c>
      <c r="L70" s="70" t="e">
        <f t="shared" si="9"/>
        <v>#DIV/0!</v>
      </c>
      <c r="M70" s="75" t="e">
        <f t="shared" si="10"/>
        <v>#DIV/0!</v>
      </c>
      <c r="N70" s="1"/>
      <c r="O70" s="28"/>
      <c r="P70" s="19" t="s">
        <v>39</v>
      </c>
      <c r="Q70" s="30">
        <f t="shared" si="11"/>
        <v>-2</v>
      </c>
      <c r="R70" s="38"/>
    </row>
    <row r="71" spans="1:18" ht="15" thickBot="1" x14ac:dyDescent="0.35">
      <c r="A71" s="56"/>
      <c r="B71" s="66"/>
      <c r="D71" s="119"/>
      <c r="E71" s="115" t="s">
        <v>16</v>
      </c>
      <c r="F71" s="23"/>
      <c r="G71" s="23"/>
      <c r="H71" s="24" t="e">
        <f t="shared" si="6"/>
        <v>#DIV/0!</v>
      </c>
      <c r="I71" s="33"/>
      <c r="J71" s="21">
        <f t="shared" si="7"/>
        <v>0</v>
      </c>
      <c r="K71" s="24" t="e">
        <f t="shared" si="8"/>
        <v>#DIV/0!</v>
      </c>
      <c r="L71" s="70" t="e">
        <f t="shared" si="9"/>
        <v>#DIV/0!</v>
      </c>
      <c r="M71" s="75" t="e">
        <f t="shared" si="10"/>
        <v>#DIV/0!</v>
      </c>
      <c r="N71" s="1"/>
      <c r="O71" s="28"/>
      <c r="P71" s="19" t="s">
        <v>39</v>
      </c>
      <c r="Q71" s="30">
        <f t="shared" si="11"/>
        <v>-2</v>
      </c>
      <c r="R71" s="38"/>
    </row>
    <row r="72" spans="1:18" x14ac:dyDescent="0.3">
      <c r="E72"/>
      <c r="F72"/>
      <c r="G72"/>
      <c r="H72"/>
      <c r="I72"/>
      <c r="J72"/>
      <c r="K72"/>
      <c r="L72" s="73"/>
      <c r="M72" s="78"/>
      <c r="O72"/>
      <c r="P72"/>
      <c r="Q72"/>
      <c r="R72"/>
    </row>
    <row r="73" spans="1:18" x14ac:dyDescent="0.3">
      <c r="E73"/>
      <c r="F73"/>
      <c r="G73"/>
      <c r="H73"/>
      <c r="I73"/>
      <c r="J73"/>
      <c r="K73"/>
      <c r="L73" s="73"/>
      <c r="M73" s="78"/>
      <c r="O73"/>
      <c r="P73"/>
      <c r="Q73"/>
      <c r="R73"/>
    </row>
    <row r="74" spans="1:18" x14ac:dyDescent="0.3">
      <c r="E74"/>
      <c r="F74"/>
      <c r="G74"/>
      <c r="H74"/>
      <c r="I74"/>
      <c r="J74"/>
      <c r="K74"/>
      <c r="L74" s="73"/>
      <c r="M74" s="78"/>
      <c r="O74"/>
      <c r="P74"/>
      <c r="Q74"/>
      <c r="R74"/>
    </row>
    <row r="75" spans="1:18" x14ac:dyDescent="0.3">
      <c r="E75"/>
      <c r="F75"/>
      <c r="G75"/>
      <c r="H75"/>
      <c r="I75"/>
      <c r="J75"/>
      <c r="K75"/>
      <c r="L75" s="73"/>
      <c r="M75" s="78"/>
      <c r="O75"/>
      <c r="P75"/>
      <c r="Q75"/>
      <c r="R75"/>
    </row>
    <row r="76" spans="1:18" x14ac:dyDescent="0.3">
      <c r="E76"/>
      <c r="F76"/>
      <c r="G76"/>
      <c r="H76"/>
      <c r="I76"/>
      <c r="J76"/>
      <c r="K76"/>
      <c r="L76" s="73"/>
      <c r="M76" s="78"/>
      <c r="O76"/>
      <c r="P76"/>
      <c r="Q76"/>
      <c r="R76"/>
    </row>
    <row r="77" spans="1:18" x14ac:dyDescent="0.3">
      <c r="E77"/>
      <c r="F77"/>
      <c r="G77"/>
      <c r="H77"/>
      <c r="I77"/>
      <c r="J77"/>
      <c r="K77"/>
      <c r="L77" s="73"/>
      <c r="M77" s="78"/>
      <c r="O77"/>
      <c r="P77"/>
      <c r="Q77"/>
      <c r="R77"/>
    </row>
    <row r="78" spans="1:18" x14ac:dyDescent="0.3">
      <c r="E78"/>
      <c r="F78"/>
      <c r="G78"/>
      <c r="H78"/>
      <c r="I78"/>
      <c r="J78"/>
      <c r="K78"/>
      <c r="L78" s="73"/>
      <c r="M78" s="78"/>
      <c r="O78"/>
      <c r="P78"/>
      <c r="Q78"/>
      <c r="R78"/>
    </row>
    <row r="79" spans="1:18" x14ac:dyDescent="0.3">
      <c r="E79"/>
      <c r="F79"/>
      <c r="G79"/>
      <c r="H79"/>
      <c r="I79"/>
      <c r="J79"/>
      <c r="K79"/>
      <c r="L79" s="73"/>
      <c r="M79" s="78"/>
      <c r="O79"/>
      <c r="P79"/>
      <c r="Q79"/>
      <c r="R79"/>
    </row>
    <row r="80" spans="1:18" x14ac:dyDescent="0.3">
      <c r="E80"/>
      <c r="F80"/>
      <c r="G80"/>
      <c r="H80"/>
      <c r="I80"/>
      <c r="J80"/>
      <c r="K80"/>
      <c r="L80" s="73"/>
      <c r="M80" s="78"/>
      <c r="O80"/>
      <c r="P80"/>
      <c r="Q80"/>
      <c r="R80"/>
    </row>
    <row r="81" spans="12:13" customFormat="1" x14ac:dyDescent="0.3">
      <c r="L81" s="73"/>
      <c r="M81" s="78"/>
    </row>
    <row r="82" spans="12:13" customFormat="1" x14ac:dyDescent="0.3">
      <c r="L82" s="73"/>
      <c r="M82" s="78"/>
    </row>
    <row r="83" spans="12:13" customFormat="1" x14ac:dyDescent="0.3">
      <c r="L83" s="73"/>
      <c r="M83" s="78"/>
    </row>
    <row r="84" spans="12:13" customFormat="1" x14ac:dyDescent="0.3">
      <c r="L84" s="73"/>
      <c r="M84" s="78"/>
    </row>
    <row r="85" spans="12:13" customFormat="1" x14ac:dyDescent="0.3">
      <c r="L85" s="73"/>
      <c r="M85" s="78"/>
    </row>
    <row r="86" spans="12:13" customFormat="1" x14ac:dyDescent="0.3">
      <c r="L86" s="73"/>
      <c r="M86" s="78"/>
    </row>
    <row r="87" spans="12:13" customFormat="1" x14ac:dyDescent="0.3">
      <c r="L87" s="73"/>
      <c r="M87" s="78"/>
    </row>
    <row r="88" spans="12:13" customFormat="1" x14ac:dyDescent="0.3">
      <c r="L88" s="73"/>
      <c r="M88" s="78"/>
    </row>
    <row r="89" spans="12:13" customFormat="1" x14ac:dyDescent="0.3">
      <c r="L89" s="73"/>
      <c r="M89" s="78"/>
    </row>
    <row r="90" spans="12:13" customFormat="1" x14ac:dyDescent="0.3">
      <c r="L90" s="73"/>
      <c r="M90" s="78"/>
    </row>
    <row r="91" spans="12:13" customFormat="1" x14ac:dyDescent="0.3">
      <c r="L91" s="73"/>
      <c r="M91" s="78"/>
    </row>
    <row r="92" spans="12:13" customFormat="1" x14ac:dyDescent="0.3">
      <c r="L92" s="73"/>
      <c r="M92" s="78"/>
    </row>
    <row r="93" spans="12:13" customFormat="1" x14ac:dyDescent="0.3">
      <c r="L93" s="73"/>
      <c r="M93" s="78"/>
    </row>
    <row r="94" spans="12:13" customFormat="1" x14ac:dyDescent="0.3">
      <c r="L94" s="73"/>
      <c r="M94" s="78"/>
    </row>
    <row r="95" spans="12:13" customFormat="1" x14ac:dyDescent="0.3">
      <c r="L95" s="73"/>
      <c r="M95" s="78"/>
    </row>
    <row r="96" spans="12:13" customFormat="1" x14ac:dyDescent="0.3">
      <c r="L96" s="73"/>
      <c r="M96" s="78"/>
    </row>
    <row r="97" spans="12:13" customFormat="1" x14ac:dyDescent="0.3">
      <c r="L97" s="73"/>
      <c r="M97" s="78"/>
    </row>
    <row r="98" spans="12:13" customFormat="1" x14ac:dyDescent="0.3">
      <c r="L98" s="73"/>
      <c r="M98" s="78"/>
    </row>
    <row r="99" spans="12:13" customFormat="1" x14ac:dyDescent="0.3">
      <c r="L99" s="73"/>
      <c r="M99" s="78"/>
    </row>
    <row r="100" spans="12:13" customFormat="1" x14ac:dyDescent="0.3">
      <c r="L100" s="73"/>
      <c r="M100" s="78"/>
    </row>
    <row r="101" spans="12:13" customFormat="1" x14ac:dyDescent="0.3">
      <c r="L101" s="73"/>
      <c r="M101" s="78"/>
    </row>
    <row r="102" spans="12:13" customFormat="1" x14ac:dyDescent="0.3">
      <c r="L102" s="73"/>
      <c r="M102" s="78"/>
    </row>
    <row r="103" spans="12:13" customFormat="1" x14ac:dyDescent="0.3">
      <c r="L103" s="73"/>
      <c r="M103" s="78"/>
    </row>
    <row r="104" spans="12:13" customFormat="1" x14ac:dyDescent="0.3">
      <c r="L104" s="73"/>
      <c r="M104" s="78"/>
    </row>
    <row r="105" spans="12:13" customFormat="1" x14ac:dyDescent="0.3">
      <c r="L105" s="73"/>
      <c r="M105" s="78"/>
    </row>
    <row r="106" spans="12:13" customFormat="1" x14ac:dyDescent="0.3">
      <c r="L106" s="73"/>
      <c r="M106" s="78"/>
    </row>
    <row r="107" spans="12:13" customFormat="1" x14ac:dyDescent="0.3">
      <c r="L107" s="73"/>
      <c r="M107" s="78"/>
    </row>
    <row r="108" spans="12:13" customFormat="1" x14ac:dyDescent="0.3">
      <c r="L108" s="73"/>
      <c r="M108" s="78"/>
    </row>
    <row r="109" spans="12:13" customFormat="1" x14ac:dyDescent="0.3">
      <c r="L109" s="73"/>
      <c r="M109" s="78"/>
    </row>
    <row r="110" spans="12:13" customFormat="1" x14ac:dyDescent="0.3">
      <c r="L110" s="73"/>
      <c r="M110" s="78"/>
    </row>
    <row r="111" spans="12:13" customFormat="1" x14ac:dyDescent="0.3">
      <c r="L111" s="73"/>
      <c r="M111" s="78"/>
    </row>
    <row r="112" spans="12:13" customFormat="1" x14ac:dyDescent="0.3">
      <c r="L112" s="73"/>
      <c r="M112" s="78"/>
    </row>
    <row r="113" spans="12:13" customFormat="1" x14ac:dyDescent="0.3">
      <c r="L113" s="73"/>
      <c r="M113" s="78"/>
    </row>
    <row r="114" spans="12:13" customFormat="1" x14ac:dyDescent="0.3">
      <c r="L114" s="73"/>
      <c r="M114" s="78"/>
    </row>
    <row r="115" spans="12:13" customFormat="1" x14ac:dyDescent="0.3">
      <c r="L115" s="73"/>
      <c r="M115" s="78"/>
    </row>
    <row r="116" spans="12:13" customFormat="1" x14ac:dyDescent="0.3">
      <c r="L116" s="73"/>
      <c r="M116" s="78"/>
    </row>
    <row r="117" spans="12:13" customFormat="1" x14ac:dyDescent="0.3">
      <c r="L117" s="73"/>
      <c r="M117" s="78"/>
    </row>
    <row r="118" spans="12:13" customFormat="1" x14ac:dyDescent="0.3">
      <c r="L118" s="73"/>
      <c r="M118" s="78"/>
    </row>
    <row r="119" spans="12:13" customFormat="1" x14ac:dyDescent="0.3">
      <c r="L119" s="73"/>
      <c r="M119" s="78"/>
    </row>
    <row r="120" spans="12:13" customFormat="1" x14ac:dyDescent="0.3">
      <c r="L120" s="73"/>
      <c r="M120" s="78"/>
    </row>
    <row r="121" spans="12:13" customFormat="1" x14ac:dyDescent="0.3">
      <c r="L121" s="73"/>
      <c r="M121" s="78"/>
    </row>
    <row r="122" spans="12:13" customFormat="1" x14ac:dyDescent="0.3">
      <c r="L122" s="73"/>
      <c r="M122" s="78"/>
    </row>
    <row r="123" spans="12:13" customFormat="1" x14ac:dyDescent="0.3">
      <c r="L123" s="73"/>
      <c r="M123" s="78"/>
    </row>
    <row r="124" spans="12:13" customFormat="1" x14ac:dyDescent="0.3">
      <c r="L124" s="73"/>
      <c r="M124" s="78"/>
    </row>
    <row r="125" spans="12:13" customFormat="1" x14ac:dyDescent="0.3">
      <c r="L125" s="73"/>
      <c r="M125" s="78"/>
    </row>
    <row r="126" spans="12:13" customFormat="1" x14ac:dyDescent="0.3">
      <c r="L126" s="73"/>
      <c r="M126" s="78"/>
    </row>
    <row r="127" spans="12:13" customFormat="1" x14ac:dyDescent="0.3">
      <c r="L127" s="73"/>
      <c r="M127" s="78"/>
    </row>
    <row r="128" spans="12:13" customFormat="1" x14ac:dyDescent="0.3">
      <c r="L128" s="73"/>
      <c r="M128" s="78"/>
    </row>
    <row r="129" spans="12:13" customFormat="1" x14ac:dyDescent="0.3">
      <c r="L129" s="73"/>
      <c r="M129" s="78"/>
    </row>
    <row r="130" spans="12:13" customFormat="1" x14ac:dyDescent="0.3">
      <c r="L130" s="73"/>
      <c r="M130" s="78"/>
    </row>
    <row r="131" spans="12:13" customFormat="1" x14ac:dyDescent="0.3">
      <c r="L131" s="73"/>
      <c r="M131" s="78"/>
    </row>
    <row r="132" spans="12:13" customFormat="1" x14ac:dyDescent="0.3">
      <c r="L132" s="73"/>
      <c r="M132" s="78"/>
    </row>
    <row r="133" spans="12:13" customFormat="1" x14ac:dyDescent="0.3">
      <c r="L133" s="73"/>
      <c r="M133" s="78"/>
    </row>
    <row r="134" spans="12:13" customFormat="1" x14ac:dyDescent="0.3">
      <c r="L134" s="73"/>
      <c r="M134" s="78"/>
    </row>
    <row r="135" spans="12:13" customFormat="1" x14ac:dyDescent="0.3">
      <c r="L135" s="73"/>
      <c r="M135" s="78"/>
    </row>
    <row r="136" spans="12:13" customFormat="1" x14ac:dyDescent="0.3">
      <c r="L136" s="73"/>
      <c r="M136" s="78"/>
    </row>
    <row r="137" spans="12:13" customFormat="1" x14ac:dyDescent="0.3">
      <c r="L137" s="73"/>
      <c r="M137" s="78"/>
    </row>
    <row r="138" spans="12:13" customFormat="1" x14ac:dyDescent="0.3">
      <c r="L138" s="73"/>
      <c r="M138" s="78"/>
    </row>
    <row r="139" spans="12:13" customFormat="1" x14ac:dyDescent="0.3">
      <c r="L139" s="73"/>
      <c r="M139" s="78"/>
    </row>
    <row r="140" spans="12:13" customFormat="1" x14ac:dyDescent="0.3">
      <c r="L140" s="73"/>
      <c r="M140" s="78"/>
    </row>
    <row r="141" spans="12:13" customFormat="1" x14ac:dyDescent="0.3">
      <c r="L141" s="73"/>
      <c r="M141" s="78"/>
    </row>
    <row r="142" spans="12:13" customFormat="1" x14ac:dyDescent="0.3">
      <c r="L142" s="73"/>
      <c r="M142" s="78"/>
    </row>
    <row r="143" spans="12:13" customFormat="1" x14ac:dyDescent="0.3">
      <c r="L143" s="73"/>
      <c r="M143" s="78"/>
    </row>
    <row r="144" spans="12:13" customFormat="1" x14ac:dyDescent="0.3">
      <c r="L144" s="73"/>
      <c r="M144" s="78"/>
    </row>
    <row r="145" spans="12:13" customFormat="1" x14ac:dyDescent="0.3">
      <c r="L145" s="73"/>
      <c r="M145" s="78"/>
    </row>
    <row r="146" spans="12:13" customFormat="1" x14ac:dyDescent="0.3">
      <c r="L146" s="73"/>
      <c r="M146" s="78"/>
    </row>
    <row r="147" spans="12:13" customFormat="1" x14ac:dyDescent="0.3">
      <c r="L147" s="73"/>
      <c r="M147" s="78"/>
    </row>
    <row r="148" spans="12:13" customFormat="1" x14ac:dyDescent="0.3">
      <c r="L148" s="73"/>
      <c r="M148" s="78"/>
    </row>
    <row r="149" spans="12:13" customFormat="1" x14ac:dyDescent="0.3">
      <c r="L149" s="73"/>
      <c r="M149" s="78"/>
    </row>
    <row r="150" spans="12:13" customFormat="1" x14ac:dyDescent="0.3">
      <c r="L150" s="73"/>
      <c r="M150" s="78"/>
    </row>
    <row r="151" spans="12:13" customFormat="1" x14ac:dyDescent="0.3">
      <c r="L151" s="73"/>
      <c r="M151" s="78"/>
    </row>
    <row r="152" spans="12:13" customFormat="1" x14ac:dyDescent="0.3">
      <c r="L152" s="73"/>
      <c r="M152" s="78"/>
    </row>
    <row r="153" spans="12:13" customFormat="1" x14ac:dyDescent="0.3">
      <c r="L153" s="73"/>
      <c r="M153" s="78"/>
    </row>
    <row r="154" spans="12:13" customFormat="1" x14ac:dyDescent="0.3">
      <c r="L154" s="73"/>
      <c r="M154" s="78"/>
    </row>
    <row r="155" spans="12:13" customFormat="1" x14ac:dyDescent="0.3">
      <c r="L155" s="73"/>
      <c r="M155" s="78"/>
    </row>
    <row r="156" spans="12:13" customFormat="1" x14ac:dyDescent="0.3">
      <c r="L156" s="73"/>
      <c r="M156" s="78"/>
    </row>
    <row r="157" spans="12:13" customFormat="1" x14ac:dyDescent="0.3">
      <c r="L157" s="73"/>
      <c r="M157" s="78"/>
    </row>
    <row r="158" spans="12:13" customFormat="1" x14ac:dyDescent="0.3">
      <c r="L158" s="73"/>
      <c r="M158" s="78"/>
    </row>
    <row r="159" spans="12:13" customFormat="1" x14ac:dyDescent="0.3">
      <c r="L159" s="73"/>
      <c r="M159" s="78"/>
    </row>
    <row r="160" spans="12:13" customFormat="1" x14ac:dyDescent="0.3">
      <c r="L160" s="73"/>
      <c r="M160" s="78"/>
    </row>
    <row r="161" spans="12:13" customFormat="1" x14ac:dyDescent="0.3">
      <c r="L161" s="73"/>
      <c r="M161" s="78"/>
    </row>
    <row r="162" spans="12:13" customFormat="1" x14ac:dyDescent="0.3">
      <c r="L162" s="73"/>
      <c r="M162" s="78"/>
    </row>
    <row r="163" spans="12:13" customFormat="1" x14ac:dyDescent="0.3">
      <c r="L163" s="73"/>
      <c r="M163" s="78"/>
    </row>
    <row r="164" spans="12:13" customFormat="1" x14ac:dyDescent="0.3">
      <c r="L164" s="73"/>
      <c r="M164" s="78"/>
    </row>
    <row r="165" spans="12:13" customFormat="1" x14ac:dyDescent="0.3">
      <c r="L165" s="73"/>
      <c r="M165" s="78"/>
    </row>
    <row r="166" spans="12:13" customFormat="1" x14ac:dyDescent="0.3">
      <c r="L166" s="73"/>
      <c r="M166" s="78"/>
    </row>
    <row r="167" spans="12:13" customFormat="1" x14ac:dyDescent="0.3">
      <c r="L167" s="73"/>
      <c r="M167" s="78"/>
    </row>
    <row r="168" spans="12:13" customFormat="1" x14ac:dyDescent="0.3">
      <c r="L168" s="73"/>
      <c r="M168" s="78"/>
    </row>
    <row r="169" spans="12:13" customFormat="1" x14ac:dyDescent="0.3">
      <c r="L169" s="73"/>
      <c r="M169" s="78"/>
    </row>
    <row r="170" spans="12:13" customFormat="1" x14ac:dyDescent="0.3">
      <c r="L170" s="73"/>
      <c r="M170" s="78"/>
    </row>
    <row r="171" spans="12:13" customFormat="1" x14ac:dyDescent="0.3">
      <c r="L171" s="73"/>
      <c r="M171" s="78"/>
    </row>
    <row r="172" spans="12:13" customFormat="1" x14ac:dyDescent="0.3">
      <c r="L172" s="73"/>
      <c r="M172" s="78"/>
    </row>
    <row r="173" spans="12:13" customFormat="1" x14ac:dyDescent="0.3">
      <c r="L173" s="73"/>
      <c r="M173" s="78"/>
    </row>
    <row r="174" spans="12:13" customFormat="1" x14ac:dyDescent="0.3">
      <c r="L174" s="73"/>
      <c r="M174" s="78"/>
    </row>
    <row r="175" spans="12:13" customFormat="1" x14ac:dyDescent="0.3">
      <c r="L175" s="73"/>
      <c r="M175" s="78"/>
    </row>
    <row r="176" spans="12:13" customFormat="1" x14ac:dyDescent="0.3">
      <c r="L176" s="73"/>
      <c r="M176" s="78"/>
    </row>
    <row r="177" spans="12:13" customFormat="1" x14ac:dyDescent="0.3">
      <c r="L177" s="73"/>
      <c r="M177" s="78"/>
    </row>
    <row r="178" spans="12:13" customFormat="1" x14ac:dyDescent="0.3">
      <c r="L178" s="73"/>
      <c r="M178" s="78"/>
    </row>
    <row r="179" spans="12:13" customFormat="1" x14ac:dyDescent="0.3">
      <c r="L179" s="73"/>
      <c r="M179" s="78"/>
    </row>
    <row r="180" spans="12:13" customFormat="1" x14ac:dyDescent="0.3">
      <c r="L180" s="73"/>
      <c r="M180" s="78"/>
    </row>
    <row r="181" spans="12:13" customFormat="1" x14ac:dyDescent="0.3">
      <c r="L181" s="73"/>
      <c r="M181" s="78"/>
    </row>
    <row r="182" spans="12:13" customFormat="1" x14ac:dyDescent="0.3">
      <c r="L182" s="73"/>
      <c r="M182" s="78"/>
    </row>
    <row r="183" spans="12:13" customFormat="1" x14ac:dyDescent="0.3">
      <c r="L183" s="73"/>
      <c r="M183" s="78"/>
    </row>
    <row r="184" spans="12:13" customFormat="1" x14ac:dyDescent="0.3">
      <c r="L184" s="73"/>
      <c r="M184" s="78"/>
    </row>
    <row r="185" spans="12:13" customFormat="1" x14ac:dyDescent="0.3">
      <c r="L185" s="73"/>
      <c r="M185" s="78"/>
    </row>
    <row r="186" spans="12:13" customFormat="1" x14ac:dyDescent="0.3">
      <c r="L186" s="73"/>
      <c r="M186" s="78"/>
    </row>
    <row r="187" spans="12:13" customFormat="1" x14ac:dyDescent="0.3">
      <c r="L187" s="73"/>
      <c r="M187" s="78"/>
    </row>
    <row r="188" spans="12:13" customFormat="1" x14ac:dyDescent="0.3">
      <c r="L188" s="73"/>
      <c r="M188" s="78"/>
    </row>
    <row r="189" spans="12:13" customFormat="1" x14ac:dyDescent="0.3">
      <c r="L189" s="73"/>
      <c r="M189" s="78"/>
    </row>
    <row r="190" spans="12:13" customFormat="1" x14ac:dyDescent="0.3">
      <c r="L190" s="73"/>
      <c r="M190" s="78"/>
    </row>
    <row r="191" spans="12:13" customFormat="1" x14ac:dyDescent="0.3">
      <c r="L191" s="73"/>
      <c r="M191" s="78"/>
    </row>
    <row r="192" spans="12:13" customFormat="1" x14ac:dyDescent="0.3">
      <c r="L192" s="73"/>
      <c r="M192" s="78"/>
    </row>
    <row r="193" spans="12:13" customFormat="1" x14ac:dyDescent="0.3">
      <c r="L193" s="73"/>
      <c r="M193" s="78"/>
    </row>
    <row r="194" spans="12:13" customFormat="1" x14ac:dyDescent="0.3">
      <c r="L194" s="73"/>
      <c r="M194" s="78"/>
    </row>
    <row r="195" spans="12:13" customFormat="1" x14ac:dyDescent="0.3">
      <c r="L195" s="73"/>
      <c r="M195" s="78"/>
    </row>
    <row r="196" spans="12:13" customFormat="1" x14ac:dyDescent="0.3">
      <c r="L196" s="73"/>
      <c r="M196" s="78"/>
    </row>
    <row r="197" spans="12:13" customFormat="1" x14ac:dyDescent="0.3">
      <c r="L197" s="73"/>
      <c r="M197" s="78"/>
    </row>
    <row r="198" spans="12:13" customFormat="1" x14ac:dyDescent="0.3">
      <c r="L198" s="73"/>
      <c r="M198" s="78"/>
    </row>
    <row r="199" spans="12:13" customFormat="1" x14ac:dyDescent="0.3">
      <c r="L199" s="73"/>
      <c r="M199" s="78"/>
    </row>
    <row r="200" spans="12:13" customFormat="1" x14ac:dyDescent="0.3">
      <c r="L200" s="73"/>
      <c r="M200" s="78"/>
    </row>
    <row r="201" spans="12:13" customFormat="1" x14ac:dyDescent="0.3">
      <c r="L201" s="73"/>
      <c r="M201" s="78"/>
    </row>
  </sheetData>
  <mergeCells count="41">
    <mergeCell ref="AL27:AM27"/>
    <mergeCell ref="AL28:AM28"/>
    <mergeCell ref="AF2:AF3"/>
    <mergeCell ref="AG2:AG3"/>
    <mergeCell ref="AH2:AH3"/>
    <mergeCell ref="AI2:AI3"/>
    <mergeCell ref="AK2:AL3"/>
    <mergeCell ref="AB4:AC4"/>
    <mergeCell ref="AD4:AE4"/>
    <mergeCell ref="Z2:Z3"/>
    <mergeCell ref="AA2:AA3"/>
    <mergeCell ref="AB2:AC3"/>
    <mergeCell ref="AD2:AE3"/>
    <mergeCell ref="AK1:AX1"/>
    <mergeCell ref="AU2:AU3"/>
    <mergeCell ref="AV2:AV3"/>
    <mergeCell ref="AW2:AW3"/>
    <mergeCell ref="AX2:AX3"/>
    <mergeCell ref="AS2:AT3"/>
    <mergeCell ref="AQ4:AR4"/>
    <mergeCell ref="AS4:AT4"/>
    <mergeCell ref="AK4:AL4"/>
    <mergeCell ref="AM2:AN3"/>
    <mergeCell ref="AO2:AP3"/>
    <mergeCell ref="AQ2:AR3"/>
    <mergeCell ref="AO21:AS21"/>
    <mergeCell ref="Z1:AH1"/>
    <mergeCell ref="AO11:AV11"/>
    <mergeCell ref="AO12:AQ12"/>
    <mergeCell ref="AT12:AU12"/>
    <mergeCell ref="AO13:AQ13"/>
    <mergeCell ref="AT13:AU13"/>
    <mergeCell ref="AO9:AP9"/>
    <mergeCell ref="AQ9:AR9"/>
    <mergeCell ref="AS9:AT9"/>
    <mergeCell ref="AO8:AP8"/>
    <mergeCell ref="AQ8:AR8"/>
    <mergeCell ref="AS8:AT8"/>
    <mergeCell ref="AO7:AT7"/>
    <mergeCell ref="AM4:AN4"/>
    <mergeCell ref="AO4:AP4"/>
  </mergeCells>
  <conditionalFormatting sqref="L2:L71">
    <cfRule type="cellIs" dxfId="92" priority="8" operator="greaterThanOrEqual">
      <formula>95%</formula>
    </cfRule>
    <cfRule type="cellIs" dxfId="91" priority="9" operator="greaterThanOrEqual">
      <formula>90%</formula>
    </cfRule>
    <cfRule type="cellIs" dxfId="90" priority="11" operator="greaterThanOrEqual">
      <formula>85%</formula>
    </cfRule>
  </conditionalFormatting>
  <conditionalFormatting sqref="E2:R71">
    <cfRule type="expression" dxfId="89" priority="5">
      <formula>$Q2:$Q26=0</formula>
    </cfRule>
    <cfRule type="expression" dxfId="88" priority="6">
      <formula>$Q2:$Q26=1</formula>
    </cfRule>
  </conditionalFormatting>
  <conditionalFormatting sqref="M2:M71">
    <cfRule type="cellIs" dxfId="87" priority="7" operator="greaterThanOrEqual">
      <formula>95%</formula>
    </cfRule>
    <cfRule type="cellIs" dxfId="86" priority="10" operator="greaterThanOrEqual">
      <formula>90%</formula>
    </cfRule>
    <cfRule type="cellIs" dxfId="85" priority="12" operator="greaterThanOrEqual">
      <formula>85%</formula>
    </cfRule>
  </conditionalFormatting>
  <conditionalFormatting sqref="U2">
    <cfRule type="iconSet" priority="4">
      <iconSet iconSet="3Arrows">
        <cfvo type="percent" val="0"/>
        <cfvo type="num" val="$V$2"/>
        <cfvo type="num" val="$V$2" gte="0"/>
      </iconSet>
    </cfRule>
  </conditionalFormatting>
  <conditionalFormatting sqref="V2">
    <cfRule type="iconSet" priority="3">
      <iconSet iconSet="3Arrows">
        <cfvo type="percent" val="0"/>
        <cfvo type="num" val="$U$2"/>
        <cfvo type="num" val="$U$2" gte="0"/>
      </iconSet>
    </cfRule>
  </conditionalFormatting>
  <conditionalFormatting sqref="D2:D71">
    <cfRule type="expression" dxfId="84" priority="1">
      <formula>$Q2:$Q26=0</formula>
    </cfRule>
    <cfRule type="expression" dxfId="83" priority="2">
      <formula>$Q2:$Q26=1</formula>
    </cfRule>
  </conditionalFormatting>
  <dataValidations count="1">
    <dataValidation type="list" allowBlank="1" showInputMessage="1" showErrorMessage="1" sqref="O2:O71 AO12:AQ12" xr:uid="{00000000-0002-0000-0100-000000000000}">
      <formula1>ВидСпортаЧемпионат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1000000}">
          <x14:formula1>
            <xm:f>Мастерская!$A$1:$A$6</xm:f>
          </x14:formula1>
          <xm:sqref>E2:E71</xm:sqref>
        </x14:dataValidation>
        <x14:dataValidation type="list" allowBlank="1" showInputMessage="1" showErrorMessage="1" xr:uid="{00000000-0002-0000-0100-000002000000}">
          <x14:formula1>
            <xm:f>Мастерская!$E$1:$E$3</xm:f>
          </x14:formula1>
          <xm:sqref>P2:P71 P202:P1048576</xm:sqref>
        </x14:dataValidation>
        <x14:dataValidation type="list" allowBlank="1" showInputMessage="1" showErrorMessage="1" xr:uid="{00000000-0002-0000-0100-000003000000}">
          <x14:formula1>
            <xm:f>Мастерская!$C$1:$C$3</xm:f>
          </x14:formula1>
          <xm:sqref>N2:N71 N202:N1048576</xm:sqref>
        </x14:dataValidation>
        <x14:dataValidation type="list" allowBlank="1" showInputMessage="1" showErrorMessage="1" xr:uid="{00000000-0002-0000-0100-000005000000}">
          <x14:formula1>
            <xm:f>Мастерская!$A:$A</xm:f>
          </x14:formula1>
          <xm:sqref>E202:E1048576</xm:sqref>
        </x14:dataValidation>
        <x14:dataValidation type="list" allowBlank="1" showInputMessage="1" showErrorMessage="1" xr:uid="{00000000-0002-0000-0100-000006000000}">
          <x14:formula1>
            <xm:f>Мастерская!$I:$I</xm:f>
          </x14:formula1>
          <xm:sqref>O202:O1048576</xm:sqref>
        </x14:dataValidation>
        <x14:dataValidation type="list" allowBlank="1" showInputMessage="1" showErrorMessage="1" xr:uid="{9650E1CB-BA83-4B58-82F7-ACB319ED2393}">
          <x14:formula1>
            <xm:f>Мастерская!$B$1:$B$23</xm:f>
          </x14:formula1>
          <xm:sqref>D2:D71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AX201"/>
  <sheetViews>
    <sheetView zoomScale="70" zoomScaleNormal="70" workbookViewId="0">
      <selection activeCell="A2" sqref="A2"/>
    </sheetView>
  </sheetViews>
  <sheetFormatPr defaultRowHeight="14.4" x14ac:dyDescent="0.3"/>
  <cols>
    <col min="1" max="1" width="12.109375" customWidth="1"/>
    <col min="2" max="2" width="12.6640625" customWidth="1"/>
    <col min="4" max="4" width="31.77734375" customWidth="1"/>
    <col min="5" max="5" width="18.6640625" style="20" customWidth="1"/>
    <col min="6" max="6" width="14.109375" style="17" customWidth="1"/>
    <col min="7" max="7" width="14.6640625" style="17" customWidth="1"/>
    <col min="8" max="8" width="14.88671875" style="17" customWidth="1"/>
    <col min="9" max="9" width="18" style="17" customWidth="1"/>
    <col min="10" max="10" width="20.33203125" style="17" customWidth="1"/>
    <col min="11" max="11" width="21.33203125" style="17" customWidth="1"/>
    <col min="12" max="12" width="23.109375" style="74" customWidth="1"/>
    <col min="13" max="13" width="20" style="79" customWidth="1"/>
    <col min="14" max="14" width="13" customWidth="1"/>
    <col min="15" max="15" width="29.33203125" style="13" customWidth="1"/>
    <col min="16" max="16" width="12.5546875" style="20" customWidth="1"/>
    <col min="17" max="17" width="19.109375" style="17" customWidth="1"/>
    <col min="18" max="18" width="19.44140625" style="32" customWidth="1"/>
    <col min="19" max="19" width="10.5546875" customWidth="1"/>
    <col min="20" max="20" width="9.109375" customWidth="1"/>
    <col min="21" max="21" width="9.44140625" customWidth="1"/>
    <col min="22" max="22" width="10.6640625" customWidth="1"/>
    <col min="23" max="23" width="9.6640625" customWidth="1"/>
    <col min="24" max="24" width="15.33203125" customWidth="1"/>
    <col min="25" max="25" width="10.44140625" customWidth="1"/>
    <col min="34" max="34" width="13.88671875" customWidth="1"/>
    <col min="35" max="35" width="28.88671875" customWidth="1"/>
    <col min="37" max="37" width="9.109375" customWidth="1"/>
    <col min="38" max="38" width="13.44140625" customWidth="1"/>
    <col min="39" max="39" width="16.44140625" customWidth="1"/>
    <col min="40" max="40" width="9.109375" customWidth="1"/>
    <col min="41" max="41" width="21.88671875" customWidth="1"/>
    <col min="42" max="42" width="29.5546875" customWidth="1"/>
    <col min="43" max="43" width="30.6640625" customWidth="1"/>
    <col min="44" max="44" width="33" customWidth="1"/>
    <col min="45" max="45" width="29.6640625" customWidth="1"/>
    <col min="46" max="46" width="21.33203125" customWidth="1"/>
    <col min="47" max="47" width="16.109375" customWidth="1"/>
    <col min="48" max="48" width="22.88671875" customWidth="1"/>
    <col min="49" max="49" width="15.6640625" customWidth="1"/>
    <col min="50" max="50" width="14.88671875" customWidth="1"/>
  </cols>
  <sheetData>
    <row r="1" spans="1:50" ht="78" customHeight="1" thickTop="1" thickBot="1" x14ac:dyDescent="0.35">
      <c r="A1" s="46" t="s">
        <v>0</v>
      </c>
      <c r="B1" s="47" t="s">
        <v>1</v>
      </c>
      <c r="C1" s="2"/>
      <c r="D1" s="116" t="s">
        <v>179</v>
      </c>
      <c r="E1" s="6" t="s">
        <v>5</v>
      </c>
      <c r="F1" s="7" t="s">
        <v>2</v>
      </c>
      <c r="G1" s="8" t="s">
        <v>10</v>
      </c>
      <c r="H1" s="8" t="s">
        <v>6</v>
      </c>
      <c r="I1" s="7" t="s">
        <v>4</v>
      </c>
      <c r="J1" s="9" t="s">
        <v>9</v>
      </c>
      <c r="K1" s="8" t="s">
        <v>11</v>
      </c>
      <c r="L1" s="10" t="s">
        <v>7</v>
      </c>
      <c r="M1" s="10" t="s">
        <v>8</v>
      </c>
      <c r="N1" s="7" t="s">
        <v>3</v>
      </c>
      <c r="O1" s="11" t="s">
        <v>20</v>
      </c>
      <c r="P1" s="7" t="s">
        <v>19</v>
      </c>
      <c r="Q1" s="29" t="s">
        <v>12</v>
      </c>
      <c r="R1" s="12" t="s">
        <v>89</v>
      </c>
      <c r="T1" s="43" t="s">
        <v>14</v>
      </c>
      <c r="U1" s="44" t="s">
        <v>68</v>
      </c>
      <c r="V1" s="63" t="s">
        <v>69</v>
      </c>
      <c r="W1" s="44" t="s">
        <v>13</v>
      </c>
      <c r="X1" s="45" t="s">
        <v>70</v>
      </c>
      <c r="Z1" s="148" t="s">
        <v>65</v>
      </c>
      <c r="AA1" s="149"/>
      <c r="AB1" s="149"/>
      <c r="AC1" s="149"/>
      <c r="AD1" s="149"/>
      <c r="AE1" s="149"/>
      <c r="AF1" s="149"/>
      <c r="AG1" s="149"/>
      <c r="AH1" s="149"/>
      <c r="AI1" s="12">
        <f t="array" ref="AI1">INDEX(D2:D71,MATCH(MAX(COUNTIF(D2:D71,D2:D71)),COUNTIF(D2:D71,D2:D71),0))</f>
        <v>0</v>
      </c>
      <c r="AK1" s="148" t="s">
        <v>175</v>
      </c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50"/>
    </row>
    <row r="2" spans="1:50" ht="16.5" customHeight="1" thickTop="1" thickBot="1" x14ac:dyDescent="0.35">
      <c r="A2" s="48"/>
      <c r="B2" s="49"/>
      <c r="D2" s="118"/>
      <c r="E2" s="115" t="s">
        <v>16</v>
      </c>
      <c r="F2" s="21"/>
      <c r="G2" s="21"/>
      <c r="H2" s="22" t="e">
        <f>(F2*100)/G2</f>
        <v>#DIV/0!</v>
      </c>
      <c r="I2" s="67"/>
      <c r="J2" s="21">
        <f>F2*I2+IF(N2="Фрибет",(F2*I2-F2)-F2*I2)</f>
        <v>0</v>
      </c>
      <c r="K2" s="22" t="e">
        <f>((J2*100)/G2)</f>
        <v>#DIV/0!</v>
      </c>
      <c r="L2" s="68" t="e">
        <f>1-M2</f>
        <v>#DIV/0!</v>
      </c>
      <c r="M2" s="69" t="e">
        <f>1/I2</f>
        <v>#DIV/0!</v>
      </c>
      <c r="N2" s="5"/>
      <c r="O2" s="28"/>
      <c r="P2" s="18" t="s">
        <v>39</v>
      </c>
      <c r="Q2" s="30">
        <f>IF(P2="Победа",1)+IF(P2="Поражение",0)+IF(P2="Не ставил",-2)</f>
        <v>-2</v>
      </c>
      <c r="R2" s="37"/>
      <c r="T2" s="39">
        <f>COUNTIF(Q2:Q1048576,1)+COUNTIF(Q2:Q1048576, 0)</f>
        <v>0</v>
      </c>
      <c r="U2" s="61">
        <f>COUNTIF(Q2:Q1048576,1)</f>
        <v>0</v>
      </c>
      <c r="V2" s="62">
        <f>COUNTIF(Q2:Q1048576,0)</f>
        <v>0</v>
      </c>
      <c r="W2" s="40" t="e">
        <f>(SUMIF(Q2:Q1048576,"=1")+SUMIF(Q2:Q1048576,"=0")*100)/T2</f>
        <v>#DIV/0!</v>
      </c>
      <c r="X2" s="41" t="e">
        <f>1-W2</f>
        <v>#DIV/0!</v>
      </c>
      <c r="Z2" s="190" t="s">
        <v>5</v>
      </c>
      <c r="AA2" s="160" t="s">
        <v>2</v>
      </c>
      <c r="AB2" s="192" t="s">
        <v>10</v>
      </c>
      <c r="AC2" s="193"/>
      <c r="AD2" s="192" t="s">
        <v>6</v>
      </c>
      <c r="AE2" s="193"/>
      <c r="AF2" s="144" t="s">
        <v>4</v>
      </c>
      <c r="AG2" s="144" t="s">
        <v>64</v>
      </c>
      <c r="AH2" s="144" t="s">
        <v>63</v>
      </c>
      <c r="AI2" s="175" t="s">
        <v>66</v>
      </c>
      <c r="AK2" s="179" t="s">
        <v>84</v>
      </c>
      <c r="AL2" s="180"/>
      <c r="AM2" s="185" t="s">
        <v>85</v>
      </c>
      <c r="AN2" s="180"/>
      <c r="AO2" s="186" t="s">
        <v>86</v>
      </c>
      <c r="AP2" s="187"/>
      <c r="AQ2" s="185" t="s">
        <v>87</v>
      </c>
      <c r="AR2" s="180"/>
      <c r="AS2" s="156" t="s">
        <v>123</v>
      </c>
      <c r="AT2" s="157"/>
      <c r="AU2" s="160" t="s">
        <v>119</v>
      </c>
      <c r="AV2" s="144" t="s">
        <v>120</v>
      </c>
      <c r="AW2" s="144" t="s">
        <v>121</v>
      </c>
      <c r="AX2" s="146" t="s">
        <v>122</v>
      </c>
    </row>
    <row r="3" spans="1:50" x14ac:dyDescent="0.3">
      <c r="A3" s="50"/>
      <c r="B3" s="51"/>
      <c r="D3" s="119"/>
      <c r="E3" s="115" t="s">
        <v>16</v>
      </c>
      <c r="F3" s="23"/>
      <c r="G3" s="23"/>
      <c r="H3" s="24" t="e">
        <f t="shared" ref="H3:H25" si="0">(F3*100)/G3</f>
        <v>#DIV/0!</v>
      </c>
      <c r="I3" s="33"/>
      <c r="J3" s="21">
        <f t="shared" ref="J3:J66" si="1">F3*I3+IF(N3="Фрибет",(F3*I3-F3)-F3*I3)</f>
        <v>0</v>
      </c>
      <c r="K3" s="24" t="e">
        <f t="shared" ref="K3:K66" si="2">((J3*100)/G3)</f>
        <v>#DIV/0!</v>
      </c>
      <c r="L3" s="70" t="e">
        <f t="shared" ref="L3:L66" si="3">1-M3</f>
        <v>#DIV/0!</v>
      </c>
      <c r="M3" s="75" t="e">
        <f t="shared" ref="M3:M66" si="4">1/I3</f>
        <v>#DIV/0!</v>
      </c>
      <c r="N3" s="1"/>
      <c r="O3" s="28"/>
      <c r="P3" s="19" t="s">
        <v>39</v>
      </c>
      <c r="Q3" s="31">
        <f>IF(P3="Победа",1)+IF(P3="Поражение",0)+IF(P3="Не ставил",-2)</f>
        <v>-2</v>
      </c>
      <c r="R3" s="38"/>
      <c r="T3" s="3"/>
      <c r="Z3" s="191"/>
      <c r="AA3" s="161"/>
      <c r="AB3" s="194"/>
      <c r="AC3" s="195"/>
      <c r="AD3" s="194"/>
      <c r="AE3" s="195"/>
      <c r="AF3" s="145"/>
      <c r="AG3" s="145"/>
      <c r="AH3" s="145"/>
      <c r="AI3" s="176"/>
      <c r="AK3" s="181"/>
      <c r="AL3" s="159"/>
      <c r="AM3" s="158"/>
      <c r="AN3" s="159"/>
      <c r="AO3" s="188"/>
      <c r="AP3" s="189"/>
      <c r="AQ3" s="158"/>
      <c r="AR3" s="159"/>
      <c r="AS3" s="158"/>
      <c r="AT3" s="159"/>
      <c r="AU3" s="161"/>
      <c r="AV3" s="145"/>
      <c r="AW3" s="145"/>
      <c r="AX3" s="147"/>
    </row>
    <row r="4" spans="1:50" ht="15" thickBot="1" x14ac:dyDescent="0.35">
      <c r="A4" s="50"/>
      <c r="B4" s="51"/>
      <c r="D4" s="119"/>
      <c r="E4" s="115" t="s">
        <v>16</v>
      </c>
      <c r="F4" s="14"/>
      <c r="G4" s="14"/>
      <c r="H4" s="15" t="e">
        <f t="shared" si="0"/>
        <v>#DIV/0!</v>
      </c>
      <c r="I4" s="35"/>
      <c r="J4" s="21">
        <f t="shared" si="1"/>
        <v>0</v>
      </c>
      <c r="K4" s="15" t="e">
        <f t="shared" si="2"/>
        <v>#DIV/0!</v>
      </c>
      <c r="L4" s="71" t="e">
        <f t="shared" si="3"/>
        <v>#DIV/0!</v>
      </c>
      <c r="M4" s="76" t="e">
        <f t="shared" si="4"/>
        <v>#DIV/0!</v>
      </c>
      <c r="N4" s="16"/>
      <c r="O4" s="28"/>
      <c r="P4" s="19" t="s">
        <v>39</v>
      </c>
      <c r="Q4" s="30">
        <f t="shared" ref="Q4:Q67" si="5">IF(P4="Победа",1)+IF(P4="Поражение",0)+IF(P4="Не ставил",-2)</f>
        <v>-2</v>
      </c>
      <c r="R4" s="38"/>
      <c r="Z4" s="89" t="str">
        <f t="array" ref="Z4">INDEX(E2:E71,MATCH(MAX(COUNTIF(E2:E71,E2:E71)),COUNTIF(E2:E71,E2:E71),0))</f>
        <v>Моя</v>
      </c>
      <c r="AA4" s="57" t="e">
        <f>AVERAGE(F2:F1048576)</f>
        <v>#DIV/0!</v>
      </c>
      <c r="AB4" s="177" t="e">
        <f>AVERAGE(G2:G1048576)</f>
        <v>#DIV/0!</v>
      </c>
      <c r="AC4" s="178"/>
      <c r="AD4" s="183" t="e">
        <f>AVERAGEIF(H2:H1048576, "&gt;0")</f>
        <v>#DIV/0!</v>
      </c>
      <c r="AE4" s="184"/>
      <c r="AF4" s="111" t="e">
        <f>AVERAGE(I2:I1048576)</f>
        <v>#DIV/0!</v>
      </c>
      <c r="AG4" s="85" t="e">
        <f>AVERAGEIF(L2:L1048576,"&gt;0")</f>
        <v>#DIV/0!</v>
      </c>
      <c r="AH4" s="87">
        <f t="array" ref="AH4">INDEX(N2:N71,MATCH(MAX(COUNTIF(N2:N71,N2:N71)),COUNTIF(N2:N71,N2:N71),0))</f>
        <v>0</v>
      </c>
      <c r="AI4" s="88">
        <f t="array" ref="AI4">INDEX(O2:O71,MATCH(MAX(COUNTIF(O2:O71,O2:O71)),COUNTIF(O2:O71,O2:O71),0))</f>
        <v>0</v>
      </c>
      <c r="AK4" s="182">
        <f>MAX(F2:F1048576)</f>
        <v>0</v>
      </c>
      <c r="AL4" s="178"/>
      <c r="AM4" s="177">
        <f>MIN(F2:F1048576)</f>
        <v>0</v>
      </c>
      <c r="AN4" s="178"/>
      <c r="AO4" s="183">
        <f>MAX(I2:I1048576)</f>
        <v>0</v>
      </c>
      <c r="AP4" s="184"/>
      <c r="AQ4" s="183">
        <f>MIN(I2:I1048576)</f>
        <v>0</v>
      </c>
      <c r="AR4" s="184"/>
      <c r="AS4" s="177">
        <f>MAX(J2:J1048576)</f>
        <v>0</v>
      </c>
      <c r="AT4" s="178"/>
      <c r="AU4" s="58">
        <f t="array" ref="AU4">MAX(IF(P2:P71=Мастерская!E1,J2:J71))</f>
        <v>0</v>
      </c>
      <c r="AV4" s="58">
        <f t="array" ref="AV4">MIN(IF(P2:P71=Мастерская!E1,J2:J71))</f>
        <v>0</v>
      </c>
      <c r="AW4" s="58">
        <f t="array" ref="AW4">MAX(IF(P2:P71=Мастерская!E2,F2:F71))</f>
        <v>0</v>
      </c>
      <c r="AX4" s="66">
        <f t="array" ref="AX4">MIN(IF(P2:P71=Мастерская!E2,F2:F71))</f>
        <v>0</v>
      </c>
    </row>
    <row r="5" spans="1:50" x14ac:dyDescent="0.3">
      <c r="A5" s="50"/>
      <c r="B5" s="51"/>
      <c r="D5" s="119"/>
      <c r="E5" s="115" t="s">
        <v>16</v>
      </c>
      <c r="F5" s="23"/>
      <c r="G5" s="23"/>
      <c r="H5" s="24" t="e">
        <f t="shared" si="0"/>
        <v>#DIV/0!</v>
      </c>
      <c r="I5" s="33"/>
      <c r="J5" s="21">
        <f t="shared" si="1"/>
        <v>0</v>
      </c>
      <c r="K5" s="24" t="e">
        <f t="shared" si="2"/>
        <v>#DIV/0!</v>
      </c>
      <c r="L5" s="70" t="e">
        <f t="shared" si="3"/>
        <v>#DIV/0!</v>
      </c>
      <c r="M5" s="75" t="e">
        <f t="shared" si="4"/>
        <v>#DIV/0!</v>
      </c>
      <c r="N5" s="1"/>
      <c r="O5" s="28"/>
      <c r="P5" s="19" t="s">
        <v>39</v>
      </c>
      <c r="Q5" s="31">
        <f t="shared" si="5"/>
        <v>-2</v>
      </c>
      <c r="R5" s="38"/>
    </row>
    <row r="6" spans="1:50" ht="15" thickBot="1" x14ac:dyDescent="0.35">
      <c r="A6" s="50"/>
      <c r="B6" s="51"/>
      <c r="D6" s="119"/>
      <c r="E6" s="115" t="s">
        <v>16</v>
      </c>
      <c r="F6" s="23"/>
      <c r="G6" s="23"/>
      <c r="H6" s="24" t="e">
        <f t="shared" si="0"/>
        <v>#DIV/0!</v>
      </c>
      <c r="I6" s="33"/>
      <c r="J6" s="21">
        <f t="shared" si="1"/>
        <v>0</v>
      </c>
      <c r="K6" s="24" t="e">
        <f t="shared" si="2"/>
        <v>#DIV/0!</v>
      </c>
      <c r="L6" s="70" t="e">
        <f t="shared" si="3"/>
        <v>#DIV/0!</v>
      </c>
      <c r="M6" s="75" t="e">
        <f t="shared" si="4"/>
        <v>#DIV/0!</v>
      </c>
      <c r="N6" s="1"/>
      <c r="O6" s="28"/>
      <c r="P6" s="19" t="s">
        <v>39</v>
      </c>
      <c r="Q6" s="30">
        <f t="shared" si="5"/>
        <v>-2</v>
      </c>
      <c r="R6" s="38"/>
    </row>
    <row r="7" spans="1:50" ht="15.6" thickTop="1" thickBot="1" x14ac:dyDescent="0.35">
      <c r="A7" s="50"/>
      <c r="B7" s="51"/>
      <c r="D7" s="119"/>
      <c r="E7" s="115" t="s">
        <v>16</v>
      </c>
      <c r="F7" s="23"/>
      <c r="G7" s="23"/>
      <c r="H7" s="24" t="e">
        <f t="shared" si="0"/>
        <v>#DIV/0!</v>
      </c>
      <c r="I7" s="33"/>
      <c r="J7" s="21">
        <f t="shared" si="1"/>
        <v>0</v>
      </c>
      <c r="K7" s="24" t="e">
        <f t="shared" si="2"/>
        <v>#DIV/0!</v>
      </c>
      <c r="L7" s="70" t="e">
        <f t="shared" si="3"/>
        <v>#DIV/0!</v>
      </c>
      <c r="M7" s="75" t="e">
        <f t="shared" si="4"/>
        <v>#DIV/0!</v>
      </c>
      <c r="N7" s="1"/>
      <c r="O7" s="28"/>
      <c r="P7" s="19" t="s">
        <v>39</v>
      </c>
      <c r="Q7" s="31">
        <f t="shared" si="5"/>
        <v>-2</v>
      </c>
      <c r="R7" s="38"/>
      <c r="AO7" s="196" t="s">
        <v>90</v>
      </c>
      <c r="AP7" s="203"/>
      <c r="AQ7" s="203"/>
      <c r="AR7" s="203"/>
      <c r="AS7" s="203"/>
      <c r="AT7" s="197"/>
    </row>
    <row r="8" spans="1:50" ht="15" thickTop="1" x14ac:dyDescent="0.3">
      <c r="A8" s="50"/>
      <c r="B8" s="51"/>
      <c r="D8" s="119"/>
      <c r="E8" s="115" t="s">
        <v>16</v>
      </c>
      <c r="F8" s="23"/>
      <c r="G8" s="23"/>
      <c r="H8" s="24" t="e">
        <f t="shared" si="0"/>
        <v>#DIV/0!</v>
      </c>
      <c r="I8" s="33"/>
      <c r="J8" s="21">
        <f t="shared" si="1"/>
        <v>0</v>
      </c>
      <c r="K8" s="24" t="e">
        <f t="shared" si="2"/>
        <v>#DIV/0!</v>
      </c>
      <c r="L8" s="70" t="e">
        <f t="shared" si="3"/>
        <v>#DIV/0!</v>
      </c>
      <c r="M8" s="75" t="e">
        <f t="shared" si="4"/>
        <v>#DIV/0!</v>
      </c>
      <c r="N8" s="1"/>
      <c r="O8" s="28"/>
      <c r="P8" s="19" t="s">
        <v>39</v>
      </c>
      <c r="Q8" s="30">
        <f t="shared" si="5"/>
        <v>-2</v>
      </c>
      <c r="R8" s="38"/>
      <c r="AO8" s="166" t="s">
        <v>178</v>
      </c>
      <c r="AP8" s="167"/>
      <c r="AQ8" s="168" t="s">
        <v>17</v>
      </c>
      <c r="AR8" s="167"/>
      <c r="AS8" s="168" t="s">
        <v>40</v>
      </c>
      <c r="AT8" s="169"/>
    </row>
    <row r="9" spans="1:50" ht="15" thickBot="1" x14ac:dyDescent="0.35">
      <c r="A9" s="52"/>
      <c r="B9" s="51"/>
      <c r="D9" s="119"/>
      <c r="E9" s="115" t="s">
        <v>16</v>
      </c>
      <c r="F9" s="23"/>
      <c r="G9" s="23"/>
      <c r="H9" s="24" t="e">
        <f t="shared" si="0"/>
        <v>#DIV/0!</v>
      </c>
      <c r="I9" s="33"/>
      <c r="J9" s="21">
        <f t="shared" si="1"/>
        <v>0</v>
      </c>
      <c r="K9" s="24" t="e">
        <f t="shared" si="2"/>
        <v>#DIV/0!</v>
      </c>
      <c r="L9" s="70" t="e">
        <f t="shared" si="3"/>
        <v>#DIV/0!</v>
      </c>
      <c r="M9" s="75" t="e">
        <f t="shared" si="4"/>
        <v>#DIV/0!</v>
      </c>
      <c r="N9" s="1"/>
      <c r="O9" s="28"/>
      <c r="P9" s="19" t="s">
        <v>39</v>
      </c>
      <c r="Q9" s="31">
        <f t="shared" si="5"/>
        <v>-2</v>
      </c>
      <c r="R9" s="38"/>
      <c r="AO9" s="162">
        <f>COUNTIF(N2:N1048576, "Одинар")</f>
        <v>0</v>
      </c>
      <c r="AP9" s="163"/>
      <c r="AQ9" s="164">
        <f>COUNTIF(N2:N1048576, "Экспресс")</f>
        <v>0</v>
      </c>
      <c r="AR9" s="163"/>
      <c r="AS9" s="164">
        <f>COUNTIF(N2:N1048576, "Фрибет")</f>
        <v>0</v>
      </c>
      <c r="AT9" s="165"/>
    </row>
    <row r="10" spans="1:50" ht="15" thickBot="1" x14ac:dyDescent="0.35">
      <c r="A10" s="52"/>
      <c r="B10" s="51"/>
      <c r="D10" s="119"/>
      <c r="E10" s="115" t="s">
        <v>16</v>
      </c>
      <c r="F10" s="25"/>
      <c r="G10" s="25"/>
      <c r="H10" s="26" t="e">
        <f t="shared" si="0"/>
        <v>#DIV/0!</v>
      </c>
      <c r="I10" s="36"/>
      <c r="J10" s="21">
        <f t="shared" si="1"/>
        <v>0</v>
      </c>
      <c r="K10" s="26" t="e">
        <f t="shared" si="2"/>
        <v>#DIV/0!</v>
      </c>
      <c r="L10" s="72" t="e">
        <f t="shared" si="3"/>
        <v>#DIV/0!</v>
      </c>
      <c r="M10" s="77" t="e">
        <f t="shared" si="4"/>
        <v>#DIV/0!</v>
      </c>
      <c r="N10" s="4"/>
      <c r="O10" s="28"/>
      <c r="P10" s="19" t="s">
        <v>39</v>
      </c>
      <c r="Q10" s="30">
        <f t="shared" si="5"/>
        <v>-2</v>
      </c>
      <c r="R10" s="38"/>
    </row>
    <row r="11" spans="1:50" ht="15.6" thickTop="1" thickBot="1" x14ac:dyDescent="0.35">
      <c r="A11" s="50"/>
      <c r="B11" s="51"/>
      <c r="D11" s="119"/>
      <c r="E11" s="115" t="s">
        <v>16</v>
      </c>
      <c r="F11" s="23"/>
      <c r="G11" s="23"/>
      <c r="H11" s="24" t="e">
        <f t="shared" si="0"/>
        <v>#DIV/0!</v>
      </c>
      <c r="I11" s="33"/>
      <c r="J11" s="21">
        <f t="shared" si="1"/>
        <v>0</v>
      </c>
      <c r="K11" s="24" t="e">
        <f t="shared" si="2"/>
        <v>#DIV/0!</v>
      </c>
      <c r="L11" s="70" t="e">
        <f t="shared" si="3"/>
        <v>#DIV/0!</v>
      </c>
      <c r="M11" s="75" t="e">
        <f t="shared" si="4"/>
        <v>#DIV/0!</v>
      </c>
      <c r="N11" s="1"/>
      <c r="O11" s="28"/>
      <c r="P11" s="19" t="s">
        <v>39</v>
      </c>
      <c r="Q11" s="31">
        <f t="shared" si="5"/>
        <v>-2</v>
      </c>
      <c r="R11" s="38"/>
      <c r="AO11" s="200" t="s">
        <v>177</v>
      </c>
      <c r="AP11" s="201"/>
      <c r="AQ11" s="201"/>
      <c r="AR11" s="201"/>
      <c r="AS11" s="201"/>
      <c r="AT11" s="201"/>
      <c r="AU11" s="201"/>
      <c r="AV11" s="202"/>
    </row>
    <row r="12" spans="1:50" ht="15" thickTop="1" x14ac:dyDescent="0.3">
      <c r="A12" s="50"/>
      <c r="B12" s="51"/>
      <c r="D12" s="119"/>
      <c r="E12" s="115" t="s">
        <v>16</v>
      </c>
      <c r="F12" s="21"/>
      <c r="G12" s="21"/>
      <c r="H12" s="22" t="e">
        <f t="shared" si="0"/>
        <v>#DIV/0!</v>
      </c>
      <c r="I12" s="34"/>
      <c r="J12" s="21">
        <f t="shared" si="1"/>
        <v>0</v>
      </c>
      <c r="K12" s="22" t="e">
        <f t="shared" si="2"/>
        <v>#DIV/0!</v>
      </c>
      <c r="L12" s="68" t="e">
        <f t="shared" si="3"/>
        <v>#DIV/0!</v>
      </c>
      <c r="M12" s="69" t="e">
        <f t="shared" si="4"/>
        <v>#DIV/0!</v>
      </c>
      <c r="N12" s="5"/>
      <c r="O12" s="28"/>
      <c r="P12" s="19" t="s">
        <v>39</v>
      </c>
      <c r="Q12" s="30">
        <f t="shared" si="5"/>
        <v>-2</v>
      </c>
      <c r="R12" s="38"/>
      <c r="AO12" s="154" t="s">
        <v>33</v>
      </c>
      <c r="AP12" s="155"/>
      <c r="AQ12" s="155"/>
      <c r="AR12" s="96" t="s">
        <v>109</v>
      </c>
      <c r="AS12" s="96" t="s">
        <v>110</v>
      </c>
      <c r="AT12" s="155" t="s">
        <v>111</v>
      </c>
      <c r="AU12" s="155"/>
      <c r="AV12" s="91" t="s">
        <v>112</v>
      </c>
    </row>
    <row r="13" spans="1:50" ht="15" thickBot="1" x14ac:dyDescent="0.35">
      <c r="A13" s="50"/>
      <c r="B13" s="51"/>
      <c r="D13" s="119"/>
      <c r="E13" s="115" t="s">
        <v>16</v>
      </c>
      <c r="F13" s="23"/>
      <c r="G13" s="23"/>
      <c r="H13" s="24" t="e">
        <f t="shared" si="0"/>
        <v>#DIV/0!</v>
      </c>
      <c r="I13" s="33"/>
      <c r="J13" s="21">
        <f t="shared" si="1"/>
        <v>0</v>
      </c>
      <c r="K13" s="24" t="e">
        <f t="shared" si="2"/>
        <v>#DIV/0!</v>
      </c>
      <c r="L13" s="70" t="e">
        <f t="shared" si="3"/>
        <v>#DIV/0!</v>
      </c>
      <c r="M13" s="75" t="e">
        <f t="shared" si="4"/>
        <v>#DIV/0!</v>
      </c>
      <c r="N13" s="1"/>
      <c r="O13" s="28"/>
      <c r="P13" s="19" t="s">
        <v>39</v>
      </c>
      <c r="Q13" s="31">
        <f t="shared" si="5"/>
        <v>-2</v>
      </c>
      <c r="R13" s="38"/>
      <c r="AO13" s="173">
        <f>IF(AO12="Футбол - Лига Чемпионов УЕФА",Мастерская!J1, 0)+IF(AO12="Футбол - Лига Европы УЕФА",Мастерская!J2, 0)+IF(AO12="Футбол - Еврокубки. Другое",Мастерская!J3, 0)+IF(AO12="Футбол - Россия. РПЛ",Мастерская!J4, 0)+IF(AO12="Футбол - Кубок России",Мастерская!J5, 0)+IF(AO12="Футбол - Россия. ФНЛ",Мастерская!J6, 0)+IF(AO12="Футбол - Россия. ПФЛ",Мастерская!J7, 0)+IF(AO12="Футбол - Россия. Другое",Мастерская!J8, 0)+IF(AO12="Футбол - Англия. АПЛ",Мастерская!J9, 0)+IF(AO12="Футбол - Кубок Англии",Мастерская!J10, 0)+IF(AO12="Футбол - Англия. Кубок Лиги",Мастерская!J11, 0)+IF(AO12="Футбол - Англия. Чемпионшип",Мастерская!J12, 0)+IF(AO12="Футбол - Испания. Ла Лига",Мастерская!J13, 0)+IF(AO12="Футбол - Италия. Серия А",Мастерская!J14, 0)+IF(AO12="Футбол - Германия. Бундеслига",Мастерская!J15, 0)+IF(AO12="Футбол - Франция. Лига 1",Мастерская!J16, 0)+IF(AO12="Футбол - Португалия. Лига NOS",Мастерская!J17, 0)+IF(AO12="Футбол - Турция. Суперлига",Мастерская!J18, 0)+IF(AO12="Футбол - Нидерланды. Эредивизи",Мастерская!J19, 0)+IF(AO12="Футбол - Греция. Суперлига",Мастерская!J20, 0)+IF(AO12="Футбол - Украина. УПЛ",Мастерская!J21, 0)+IF(AO12="Футбол - Кубок Либертадорес",Мастерская!J22, 0)+IF(AO12="Футбол - США/Канада. MLS",Мастерская!J23, 0)+IF(AO12="Футбол - Бразилия. Сериа А",Мастерская!J24, 0)+IF(AO12="Футбол - Аргентина. Суперлига",Мастерская!J25, 0)+IF(AO12="Футбол - Китай. Суперлига",Мастерская!J26, 0)+IF(AO12="Футбол - Сборные. Чемпионат мира",Мастерская!J27, 0)+IF(AO12="Футбол - Сборные. Чемпионат Европы",Мастерская!J28, 0)+IF(AO12="Футбол - Сборные. Лига Наций",Мастерская!J29, 0)+IF(AO12="Футбол - Сборные. Кубок Америки",Мастерская!J30, 0)+IF(AO12="Футбол - Сборные. Кубок Азии",Мастерская!J31, 0)+IF(AO12="Футбол - Сборные. Кубок Африки",Мастерская!J32, 0)+IF(AO12="Футбол - Сборные. КОНКАКАФ",Мастерская!J33, 0)+IF(AO12="Футбол - Сборные.  Другое",Мастерская!J34, 0)+IF(AO12="Хоккей - КХЛ",Мастерская!J35, 0)+IF(AO12="Хоккей - НХЛ",Мастерская!J36, 0)+IF(AO12="Хоккей - Сборные. Чемпионат мира",Мастерская!J37, 0)+IF(AO12="Хоккей - Сборные. Евротур",Мастерская!J38, 0)+IF(AO12="Смешанные единоборства - UFC",Мастерская!J39, 0)+IF(AO12="Смешанные единоборства - Bellator",Мастерская!J40, 0)+IF(AO12="Смешанные единоборства - M-1",Мастерская!J41, 0)+IF(AO12="Смешанные единоборства - Fight Nights Global",Мастерская!J42, 0)+IF(AO12="Бокс - WBA",Мастерская!J43, 0)+IF(AO12="Бокс - WBC",Мастерская!J44, 0)+IF(AO12="Бокс - WBO",Мастерская!J45, 0)+IF(AO12="Бокс - IBF",Мастерская!J46, 0)+IF(AO12="Бокс - IBO",Мастерская!J47, 0)+IF(AO12="Теннис - Уимблдон. ATP",Мастерская!J48, 0)+IF(AO12="Теннис - Уимблдон. WTA",Мастерская!J49, 0)+IF(AO12="Теннис - Australian Open",Мастерская!J50, 0)+IF(AO12="Теннис - Франция. Ролан Гаррос",Мастерская!J51, 0)+IF(AO12="Теннис - US Open",Мастерская!J52, 0)+IF(AO12="Теннис - Кубок Федерации",Мастерская!J53, 0)+IF(AO12="Теннис - Кубок Дэвиса",Мастерская!J54, 0)+IF(AO12="Теннис - Кубок Кремля",Мастерская!J55, 0)+IF(AO12="Баскетбол - Сборные. Чемпионат мира",Мастерская!J56, 0)+IF(AO12="Баскетбол - Сборные. Чемпионат Европы",Мастерская!J57, 0)+IF(AO12="Баскетбол - Евролига",Мастерская!J58, 0)+IF(AO12="Баскетбол - Еврокубок",Мастерская!J59, 0)+IF(AO12="Баскетбол - Лига Чемпионов",Мастерская!J60, 0)+IF(AO12="Баскетбол - Россия. Единая Лига ВТБ",Мастерская!J61, 0)+IF(AO12="Баскетбол - США. NBA",Мастерская!J62, 0)+IF(AO12="Волейбол - Сборные. Чемпионат мира",Мастерская!J63, 0)+IF(AO12="Волейбол - Сборные. Кубок мира",Мастерская!J64, 0)+IF(AO12="Волейбол - Сборные. Всемирный Кубок Чемпионов",Мастерская!J65, 0)+IF(AO12="Волейбол - Сборные. Лига наций",Мастерская!J66, 0)+IF(AO12="Волейбол - Сборные. Чемпионат Европы",Мастерская!J67, 0)+IF(AO12="Волейбол - Евролига",Мастерская!J68, 0)+IF(AO12="Волейбол - Чемпионат России",Мастерская!J69, 0)+IF(AO12="Биатлон - Чемпионат мира",Мастерская!J70, 0)+IF(AO12="Биатлон - Чемпионат Европы",Мастерская!J71, 0)+IF(AO12="Биатлон - Кубок мира",Мастерская!J72, 0)+IF(AO12="Биатлон - Кубок IBU",Мастерская!J73, 0)+IF(AO12="Формула-1",Мастерская!J74, 0)+IF(AO12="Киберспорт - The International. Dota 2 Championships",Мастерская!J75, 0)+IF(AO12="Киберспорт - Другое",Мастерская!J76, 0)+IF(AO12="Мини-футбол - Сборные. Чемпионат мира",Мастерская!J77, 0)+IF(AO12="Мини-футбол - Сборные. Чемпионат Европы",Мастерская!J78, 0)+IF(AO12="Мини-футбол - Лига Чемпионов УЕФА",Мастерская!J79, 0)+IF(AO12="Мини-футбол - Россия. Суперлига",Мастерская!J80, 0)+IF(AO12="Мини-футбол - Бразилия. Лига футзала",Мастерская!J81, 0)+IF(AO12="Пляжный футбол - Сборные. Чемпионат мира",Мастерская!J82, 0)+IF(AO12="Пляжный футбол - Сборные. Межконтинентальный кубок",Мастерская!J83, 0)+IF(AO12="Пляжный футбол - Сборные. Кубок Европы",Мастерская!J84, 0)+IF(AO12="Пляжный футбол - Кубок европейских чемпионов",Мастерская!J85, 0)+IF(AO12="Пляжный футбол - Чемпионат России",Мастерская!J86, 0)+IF(AO12="Настольный теннис - Сборные. Чемпионат мира",Мастерская!J87, 0)+IF(AO12="Настольный теннис - Сборные. Чемпионат Европы",Мастерская!J88, 0)+IF(AO12="Хоккей с мячом - Сборные. Чемпионат мира",Мастерская!J89, 0)+IF(AO12="Хоккей с мячом - Россия. Суперлига",Мастерская!J90, 0)+IF(AO12="Гандбол",Мастерская!J91, 0)+IF(AO12="Снукер",Мастерская!J92, 0)+IF(AO12="Скачки",Мастерская!J93, 0)+IF(AO12="Американский футбол",Мастерская!J94, 0)+IF(AO12="Бейсбол",Мастерская!J95, 0)+IF(AO12="Водное поло",Мастерская!J96, 0)+IF(AO12="Лыжные гонки",Мастерская!J97, 0)+IF(AO12="Тяжёлая атлетика",Мастерская!J98, 0)+IF(AO12="Лёгкая атлетика",Мастерская!J99, 0)+IF(AO12="Регби",Мастерская!J100, 0)+IF(AO12="Пляжный волейбол",Мастерская!J101, 0)+IF(AO12="Кёрлинг",Мастерская!J102, 0)+IF(AO12="Гольф",Мастерская!J103, 0)+IF(AO12="Прыжки с трамплина",Мастерская!J104, 0)</f>
        <v>0</v>
      </c>
      <c r="AP13" s="174"/>
      <c r="AQ13" s="174"/>
      <c r="AR13" s="95">
        <f>SUM(Мастерская!J1:J34)</f>
        <v>0</v>
      </c>
      <c r="AS13" s="95">
        <f>SUM(Мастерская!J35:J38)</f>
        <v>0</v>
      </c>
      <c r="AT13" s="174">
        <f>SUM(Мастерская!J39:J42)</f>
        <v>0</v>
      </c>
      <c r="AU13" s="174"/>
      <c r="AV13" s="97">
        <f>SUM(Мастерская!J43:J47)</f>
        <v>0</v>
      </c>
    </row>
    <row r="14" spans="1:50" ht="15" thickTop="1" x14ac:dyDescent="0.3">
      <c r="A14" s="50"/>
      <c r="B14" s="51"/>
      <c r="D14" s="119"/>
      <c r="E14" s="115" t="s">
        <v>16</v>
      </c>
      <c r="F14" s="23"/>
      <c r="G14" s="23"/>
      <c r="H14" s="24" t="e">
        <f t="shared" si="0"/>
        <v>#DIV/0!</v>
      </c>
      <c r="I14" s="33"/>
      <c r="J14" s="21">
        <f t="shared" si="1"/>
        <v>0</v>
      </c>
      <c r="K14" s="24" t="e">
        <f t="shared" si="2"/>
        <v>#DIV/0!</v>
      </c>
      <c r="L14" s="70" t="e">
        <f t="shared" si="3"/>
        <v>#DIV/0!</v>
      </c>
      <c r="M14" s="75" t="e">
        <f t="shared" si="4"/>
        <v>#DIV/0!</v>
      </c>
      <c r="N14" s="1"/>
      <c r="O14" s="28"/>
      <c r="P14" s="19" t="s">
        <v>39</v>
      </c>
      <c r="Q14" s="30">
        <f t="shared" si="5"/>
        <v>-2</v>
      </c>
      <c r="R14" s="38"/>
      <c r="AO14" s="92" t="s">
        <v>113</v>
      </c>
      <c r="AP14" s="94" t="s">
        <v>114</v>
      </c>
      <c r="AQ14" s="94" t="s">
        <v>115</v>
      </c>
      <c r="AR14" s="94" t="s">
        <v>116</v>
      </c>
      <c r="AS14" s="94" t="s">
        <v>61</v>
      </c>
      <c r="AT14" s="94" t="s">
        <v>117</v>
      </c>
      <c r="AU14" s="94" t="s">
        <v>151</v>
      </c>
      <c r="AV14" s="98" t="s">
        <v>152</v>
      </c>
    </row>
    <row r="15" spans="1:50" ht="15" thickBot="1" x14ac:dyDescent="0.35">
      <c r="A15" s="50"/>
      <c r="B15" s="51"/>
      <c r="D15" s="119"/>
      <c r="E15" s="115" t="s">
        <v>16</v>
      </c>
      <c r="F15" s="23"/>
      <c r="G15" s="23"/>
      <c r="H15" s="24" t="e">
        <f t="shared" si="0"/>
        <v>#DIV/0!</v>
      </c>
      <c r="I15" s="33"/>
      <c r="J15" s="21">
        <f t="shared" si="1"/>
        <v>0</v>
      </c>
      <c r="K15" s="24" t="e">
        <f t="shared" si="2"/>
        <v>#DIV/0!</v>
      </c>
      <c r="L15" s="70" t="e">
        <f t="shared" si="3"/>
        <v>#DIV/0!</v>
      </c>
      <c r="M15" s="75" t="e">
        <f t="shared" si="4"/>
        <v>#DIV/0!</v>
      </c>
      <c r="N15" s="1"/>
      <c r="O15" s="28"/>
      <c r="P15" s="19" t="s">
        <v>39</v>
      </c>
      <c r="Q15" s="31">
        <f t="shared" si="5"/>
        <v>-2</v>
      </c>
      <c r="R15" s="38"/>
      <c r="AO15" s="93">
        <f>SUM(Мастерская!J48:J55)</f>
        <v>0</v>
      </c>
      <c r="AP15" s="95">
        <f>SUM(Мастерская!J56:J62)</f>
        <v>0</v>
      </c>
      <c r="AQ15" s="95">
        <f>SUM(Мастерская!J63:J69)</f>
        <v>0</v>
      </c>
      <c r="AR15" s="95">
        <f>SUM(Мастерская!J70:J73)</f>
        <v>0</v>
      </c>
      <c r="AS15" s="95">
        <f>Мастерская!J74</f>
        <v>0</v>
      </c>
      <c r="AT15" s="95">
        <f>SUM(Мастерская!J75:J76)</f>
        <v>0</v>
      </c>
      <c r="AU15" s="95">
        <f>SUM(Мастерская!J77:J81)</f>
        <v>0</v>
      </c>
      <c r="AV15" s="97">
        <f>SUM(Мастерская!J82:J86)</f>
        <v>0</v>
      </c>
    </row>
    <row r="16" spans="1:50" ht="15" thickTop="1" x14ac:dyDescent="0.3">
      <c r="A16" s="50"/>
      <c r="B16" s="51"/>
      <c r="D16" s="119"/>
      <c r="E16" s="115" t="s">
        <v>16</v>
      </c>
      <c r="F16" s="23"/>
      <c r="G16" s="23"/>
      <c r="H16" s="24" t="e">
        <f t="shared" si="0"/>
        <v>#DIV/0!</v>
      </c>
      <c r="I16" s="33"/>
      <c r="J16" s="21">
        <f t="shared" si="1"/>
        <v>0</v>
      </c>
      <c r="K16" s="24" t="e">
        <f t="shared" si="2"/>
        <v>#DIV/0!</v>
      </c>
      <c r="L16" s="70" t="e">
        <f t="shared" si="3"/>
        <v>#DIV/0!</v>
      </c>
      <c r="M16" s="75" t="e">
        <f t="shared" si="4"/>
        <v>#DIV/0!</v>
      </c>
      <c r="N16" s="1"/>
      <c r="O16" s="28"/>
      <c r="P16" s="19" t="s">
        <v>39</v>
      </c>
      <c r="Q16" s="30">
        <f t="shared" si="5"/>
        <v>-2</v>
      </c>
      <c r="R16" s="38"/>
      <c r="AO16" s="99" t="s">
        <v>145</v>
      </c>
      <c r="AP16" s="100" t="s">
        <v>154</v>
      </c>
      <c r="AQ16" s="100" t="s">
        <v>144</v>
      </c>
      <c r="AR16" s="100" t="s">
        <v>155</v>
      </c>
      <c r="AS16" s="100" t="s">
        <v>146</v>
      </c>
      <c r="AT16" s="100" t="s">
        <v>153</v>
      </c>
      <c r="AU16" s="100" t="s">
        <v>143</v>
      </c>
      <c r="AV16" s="101" t="s">
        <v>157</v>
      </c>
    </row>
    <row r="17" spans="1:48" ht="15" thickBot="1" x14ac:dyDescent="0.35">
      <c r="A17" s="50"/>
      <c r="B17" s="51"/>
      <c r="D17" s="119"/>
      <c r="E17" s="115" t="s">
        <v>16</v>
      </c>
      <c r="F17" s="23"/>
      <c r="G17" s="23"/>
      <c r="H17" s="24" t="e">
        <f t="shared" si="0"/>
        <v>#DIV/0!</v>
      </c>
      <c r="I17" s="33"/>
      <c r="J17" s="21">
        <f t="shared" si="1"/>
        <v>0</v>
      </c>
      <c r="K17" s="24" t="e">
        <f t="shared" si="2"/>
        <v>#DIV/0!</v>
      </c>
      <c r="L17" s="70" t="e">
        <f t="shared" si="3"/>
        <v>#DIV/0!</v>
      </c>
      <c r="M17" s="75" t="e">
        <f t="shared" si="4"/>
        <v>#DIV/0!</v>
      </c>
      <c r="N17" s="1"/>
      <c r="O17" s="28"/>
      <c r="P17" s="19" t="s">
        <v>39</v>
      </c>
      <c r="Q17" s="31">
        <f t="shared" si="5"/>
        <v>-2</v>
      </c>
      <c r="R17" s="38"/>
      <c r="AO17" s="102">
        <f>SUM(Мастерская!J87:J88)</f>
        <v>0</v>
      </c>
      <c r="AP17" s="103">
        <f>SUM(Мастерская!J89:J90)</f>
        <v>0</v>
      </c>
      <c r="AQ17" s="103">
        <f>Мастерская!J91</f>
        <v>0</v>
      </c>
      <c r="AR17" s="103">
        <f>Мастерская!J92</f>
        <v>0</v>
      </c>
      <c r="AS17" s="103">
        <f>Мастерская!J93</f>
        <v>0</v>
      </c>
      <c r="AT17" s="103">
        <f>Мастерская!J94</f>
        <v>0</v>
      </c>
      <c r="AU17" s="103">
        <f>Мастерская!J95</f>
        <v>0</v>
      </c>
      <c r="AV17" s="104">
        <f>Мастерская!J96</f>
        <v>0</v>
      </c>
    </row>
    <row r="18" spans="1:48" ht="15" thickTop="1" x14ac:dyDescent="0.3">
      <c r="A18" s="50"/>
      <c r="B18" s="51"/>
      <c r="D18" s="119"/>
      <c r="E18" s="115" t="s">
        <v>16</v>
      </c>
      <c r="F18" s="23"/>
      <c r="G18" s="23"/>
      <c r="H18" s="24" t="e">
        <f t="shared" si="0"/>
        <v>#DIV/0!</v>
      </c>
      <c r="I18" s="33"/>
      <c r="J18" s="21">
        <f t="shared" si="1"/>
        <v>0</v>
      </c>
      <c r="K18" s="24" t="e">
        <f t="shared" si="2"/>
        <v>#DIV/0!</v>
      </c>
      <c r="L18" s="70" t="e">
        <f t="shared" si="3"/>
        <v>#DIV/0!</v>
      </c>
      <c r="M18" s="75" t="e">
        <f t="shared" si="4"/>
        <v>#DIV/0!</v>
      </c>
      <c r="N18" s="1"/>
      <c r="O18" s="28"/>
      <c r="P18" s="19" t="s">
        <v>39</v>
      </c>
      <c r="Q18" s="30">
        <f t="shared" si="5"/>
        <v>-2</v>
      </c>
      <c r="R18" s="38"/>
      <c r="AO18" s="99" t="s">
        <v>156</v>
      </c>
      <c r="AP18" s="100" t="s">
        <v>159</v>
      </c>
      <c r="AQ18" s="100" t="s">
        <v>158</v>
      </c>
      <c r="AR18" s="100" t="s">
        <v>161</v>
      </c>
      <c r="AS18" s="100" t="s">
        <v>162</v>
      </c>
      <c r="AT18" s="100" t="s">
        <v>160</v>
      </c>
      <c r="AU18" s="100" t="s">
        <v>163</v>
      </c>
      <c r="AV18" s="101" t="s">
        <v>164</v>
      </c>
    </row>
    <row r="19" spans="1:48" ht="15" thickBot="1" x14ac:dyDescent="0.35">
      <c r="A19" s="50"/>
      <c r="B19" s="51"/>
      <c r="D19" s="119"/>
      <c r="E19" s="115" t="s">
        <v>16</v>
      </c>
      <c r="F19" s="23"/>
      <c r="G19" s="23"/>
      <c r="H19" s="24" t="e">
        <f t="shared" si="0"/>
        <v>#DIV/0!</v>
      </c>
      <c r="I19" s="33"/>
      <c r="J19" s="21">
        <f t="shared" si="1"/>
        <v>0</v>
      </c>
      <c r="K19" s="24" t="e">
        <f t="shared" si="2"/>
        <v>#DIV/0!</v>
      </c>
      <c r="L19" s="70" t="e">
        <f t="shared" si="3"/>
        <v>#DIV/0!</v>
      </c>
      <c r="M19" s="75" t="e">
        <f t="shared" si="4"/>
        <v>#DIV/0!</v>
      </c>
      <c r="N19" s="1"/>
      <c r="O19" s="28"/>
      <c r="P19" s="19" t="s">
        <v>39</v>
      </c>
      <c r="Q19" s="31">
        <f t="shared" si="5"/>
        <v>-2</v>
      </c>
      <c r="R19" s="38"/>
      <c r="AO19" s="105">
        <f>Мастерская!J97</f>
        <v>0</v>
      </c>
      <c r="AP19" s="106">
        <f>Мастерская!J98</f>
        <v>0</v>
      </c>
      <c r="AQ19" s="106">
        <f>Мастерская!J99</f>
        <v>0</v>
      </c>
      <c r="AR19" s="106">
        <f>Мастерская!J100</f>
        <v>0</v>
      </c>
      <c r="AS19" s="106">
        <f>Мастерская!J101</f>
        <v>0</v>
      </c>
      <c r="AT19" s="106">
        <f>Мастерская!J102</f>
        <v>0</v>
      </c>
      <c r="AU19" s="106">
        <f>Мастерская!J103</f>
        <v>0</v>
      </c>
      <c r="AV19" s="107">
        <f>Мастерская!J104</f>
        <v>0</v>
      </c>
    </row>
    <row r="20" spans="1:48" ht="15" thickBot="1" x14ac:dyDescent="0.35">
      <c r="A20" s="50"/>
      <c r="B20" s="51"/>
      <c r="D20" s="119"/>
      <c r="E20" s="115" t="s">
        <v>16</v>
      </c>
      <c r="F20" s="23"/>
      <c r="G20" s="23"/>
      <c r="H20" s="24" t="e">
        <f t="shared" si="0"/>
        <v>#DIV/0!</v>
      </c>
      <c r="I20" s="33"/>
      <c r="J20" s="21">
        <f t="shared" si="1"/>
        <v>0</v>
      </c>
      <c r="K20" s="24" t="e">
        <f t="shared" si="2"/>
        <v>#DIV/0!</v>
      </c>
      <c r="L20" s="70" t="e">
        <f t="shared" si="3"/>
        <v>#DIV/0!</v>
      </c>
      <c r="M20" s="75" t="e">
        <f t="shared" si="4"/>
        <v>#DIV/0!</v>
      </c>
      <c r="N20" s="1"/>
      <c r="O20" s="28"/>
      <c r="P20" s="19" t="s">
        <v>39</v>
      </c>
      <c r="Q20" s="30">
        <f t="shared" si="5"/>
        <v>-2</v>
      </c>
      <c r="R20" s="38"/>
    </row>
    <row r="21" spans="1:48" ht="15.6" thickTop="1" thickBot="1" x14ac:dyDescent="0.35">
      <c r="A21" s="50"/>
      <c r="B21" s="51"/>
      <c r="D21" s="119"/>
      <c r="E21" s="115" t="s">
        <v>16</v>
      </c>
      <c r="F21" s="23"/>
      <c r="G21" s="23"/>
      <c r="H21" s="24" t="e">
        <f t="shared" si="0"/>
        <v>#DIV/0!</v>
      </c>
      <c r="I21" s="33"/>
      <c r="J21" s="21">
        <f t="shared" si="1"/>
        <v>0</v>
      </c>
      <c r="K21" s="24" t="e">
        <f t="shared" si="2"/>
        <v>#DIV/0!</v>
      </c>
      <c r="L21" s="70" t="e">
        <f t="shared" si="3"/>
        <v>#DIV/0!</v>
      </c>
      <c r="M21" s="75" t="e">
        <f t="shared" si="4"/>
        <v>#DIV/0!</v>
      </c>
      <c r="N21" s="1"/>
      <c r="O21" s="28"/>
      <c r="P21" s="19" t="s">
        <v>39</v>
      </c>
      <c r="Q21" s="31">
        <f t="shared" si="5"/>
        <v>-2</v>
      </c>
      <c r="R21" s="38"/>
      <c r="AO21" s="170" t="s">
        <v>202</v>
      </c>
      <c r="AP21" s="171"/>
      <c r="AQ21" s="171"/>
      <c r="AR21" s="171"/>
      <c r="AS21" s="172"/>
    </row>
    <row r="22" spans="1:48" ht="16.5" customHeight="1" thickTop="1" x14ac:dyDescent="0.3">
      <c r="A22" s="50"/>
      <c r="B22" s="51"/>
      <c r="D22" s="119"/>
      <c r="E22" s="115" t="s">
        <v>16</v>
      </c>
      <c r="F22" s="23"/>
      <c r="G22" s="23"/>
      <c r="H22" s="24" t="e">
        <f t="shared" si="0"/>
        <v>#DIV/0!</v>
      </c>
      <c r="I22" s="33"/>
      <c r="J22" s="21">
        <f t="shared" si="1"/>
        <v>0</v>
      </c>
      <c r="K22" s="24" t="e">
        <f t="shared" si="2"/>
        <v>#DIV/0!</v>
      </c>
      <c r="L22" s="70" t="e">
        <f t="shared" si="3"/>
        <v>#DIV/0!</v>
      </c>
      <c r="M22" s="75" t="e">
        <f t="shared" si="4"/>
        <v>#DIV/0!</v>
      </c>
      <c r="N22" s="1"/>
      <c r="O22" s="28"/>
      <c r="P22" s="19" t="s">
        <v>39</v>
      </c>
      <c r="Q22" s="30">
        <f t="shared" si="5"/>
        <v>-2</v>
      </c>
      <c r="R22" s="38"/>
      <c r="T22" s="42"/>
      <c r="U22" s="42"/>
      <c r="V22" s="42"/>
      <c r="W22" s="42"/>
      <c r="X22" s="42"/>
      <c r="Y22" s="42"/>
      <c r="Z22" s="42"/>
      <c r="AA22" s="42"/>
      <c r="AB22" s="42"/>
      <c r="AO22" s="113" t="s">
        <v>180</v>
      </c>
      <c r="AP22" s="96" t="s">
        <v>181</v>
      </c>
      <c r="AQ22" s="96" t="s">
        <v>182</v>
      </c>
      <c r="AR22" s="112" t="s">
        <v>183</v>
      </c>
      <c r="AS22" s="91" t="s">
        <v>184</v>
      </c>
    </row>
    <row r="23" spans="1:48" ht="15.75" customHeight="1" thickBot="1" x14ac:dyDescent="0.35">
      <c r="A23" s="50"/>
      <c r="B23" s="51"/>
      <c r="D23" s="119"/>
      <c r="E23" s="115" t="s">
        <v>16</v>
      </c>
      <c r="F23" s="23"/>
      <c r="G23" s="23"/>
      <c r="H23" s="24" t="e">
        <f t="shared" si="0"/>
        <v>#DIV/0!</v>
      </c>
      <c r="I23" s="33"/>
      <c r="J23" s="21">
        <f t="shared" si="1"/>
        <v>0</v>
      </c>
      <c r="K23" s="24" t="e">
        <f t="shared" si="2"/>
        <v>#DIV/0!</v>
      </c>
      <c r="L23" s="70" t="e">
        <f t="shared" si="3"/>
        <v>#DIV/0!</v>
      </c>
      <c r="M23" s="75" t="e">
        <f t="shared" si="4"/>
        <v>#DIV/0!</v>
      </c>
      <c r="N23" s="1"/>
      <c r="O23" s="28"/>
      <c r="P23" s="19" t="s">
        <v>39</v>
      </c>
      <c r="Q23" s="31">
        <f t="shared" si="5"/>
        <v>-2</v>
      </c>
      <c r="R23" s="38"/>
      <c r="T23" s="42"/>
      <c r="U23" s="42"/>
      <c r="V23" s="42"/>
      <c r="W23" s="42"/>
      <c r="X23" s="42"/>
      <c r="Y23" s="42"/>
      <c r="Z23" s="42"/>
      <c r="AA23" s="42"/>
      <c r="AO23" s="93">
        <f>COUNTIF(D2:D1048576, "Победитель")</f>
        <v>0</v>
      </c>
      <c r="AP23" s="95">
        <f>COUNTIF(D2:D1048576, "Ничья")</f>
        <v>0</v>
      </c>
      <c r="AQ23" s="95">
        <f>COUNTIF(D2:D1048576, "Двойной шанс")</f>
        <v>0</v>
      </c>
      <c r="AR23" s="95">
        <f>COUNTIF(D2:D1048576, "Победитель (при ничьей - возврат)")</f>
        <v>0</v>
      </c>
      <c r="AS23" s="97">
        <f>COUNTIF(D2:D1048576, "Фора")</f>
        <v>0</v>
      </c>
    </row>
    <row r="24" spans="1:48" ht="15" customHeight="1" thickTop="1" thickBot="1" x14ac:dyDescent="0.35">
      <c r="A24" s="50"/>
      <c r="B24" s="51"/>
      <c r="D24" s="119"/>
      <c r="E24" s="115" t="s">
        <v>16</v>
      </c>
      <c r="F24" s="23"/>
      <c r="G24" s="23"/>
      <c r="H24" s="24" t="e">
        <f t="shared" si="0"/>
        <v>#DIV/0!</v>
      </c>
      <c r="I24" s="33"/>
      <c r="J24" s="21">
        <f t="shared" si="1"/>
        <v>0</v>
      </c>
      <c r="K24" s="24" t="e">
        <f t="shared" si="2"/>
        <v>#DIV/0!</v>
      </c>
      <c r="L24" s="70" t="e">
        <f t="shared" si="3"/>
        <v>#DIV/0!</v>
      </c>
      <c r="M24" s="75" t="e">
        <f t="shared" si="4"/>
        <v>#DIV/0!</v>
      </c>
      <c r="N24" s="1"/>
      <c r="O24" s="28"/>
      <c r="P24" s="19" t="s">
        <v>39</v>
      </c>
      <c r="Q24" s="30">
        <f t="shared" si="5"/>
        <v>-2</v>
      </c>
      <c r="R24" s="38"/>
      <c r="T24" s="42"/>
      <c r="U24" s="42"/>
      <c r="V24" s="42"/>
      <c r="W24" s="42"/>
      <c r="X24" s="42"/>
      <c r="Y24" s="42"/>
      <c r="Z24" s="42"/>
      <c r="AA24" s="42"/>
      <c r="AB24" s="42"/>
      <c r="AO24" s="92" t="s">
        <v>185</v>
      </c>
      <c r="AP24" s="94" t="s">
        <v>186</v>
      </c>
      <c r="AQ24" s="120" t="s">
        <v>187</v>
      </c>
      <c r="AR24" s="94" t="s">
        <v>189</v>
      </c>
      <c r="AS24" s="98" t="s">
        <v>190</v>
      </c>
    </row>
    <row r="25" spans="1:48" ht="15" customHeight="1" thickTop="1" thickBot="1" x14ac:dyDescent="0.35">
      <c r="A25" s="53"/>
      <c r="B25" s="54"/>
      <c r="D25" s="119"/>
      <c r="E25" s="115" t="s">
        <v>16</v>
      </c>
      <c r="F25" s="23"/>
      <c r="G25" s="23"/>
      <c r="H25" s="24" t="e">
        <f t="shared" si="0"/>
        <v>#DIV/0!</v>
      </c>
      <c r="I25" s="33"/>
      <c r="J25" s="21">
        <f t="shared" si="1"/>
        <v>0</v>
      </c>
      <c r="K25" s="24" t="e">
        <f t="shared" si="2"/>
        <v>#DIV/0!</v>
      </c>
      <c r="L25" s="70" t="e">
        <f t="shared" si="3"/>
        <v>#DIV/0!</v>
      </c>
      <c r="M25" s="75" t="e">
        <f t="shared" si="4"/>
        <v>#DIV/0!</v>
      </c>
      <c r="N25" s="1"/>
      <c r="O25" s="28"/>
      <c r="P25" s="19" t="s">
        <v>39</v>
      </c>
      <c r="Q25" s="31">
        <f t="shared" si="5"/>
        <v>-2</v>
      </c>
      <c r="R25" s="38"/>
      <c r="U25" s="59"/>
      <c r="W25" s="60"/>
      <c r="AL25" s="80" t="s">
        <v>242</v>
      </c>
      <c r="AM25" s="12" t="s">
        <v>243</v>
      </c>
      <c r="AO25" s="93">
        <f>COUNTIF(D2:D1048576, "Тотал")</f>
        <v>0</v>
      </c>
      <c r="AP25" s="95">
        <f>COUNTIF(D2:D1048576, "Точный счёт")</f>
        <v>0</v>
      </c>
      <c r="AQ25" s="95">
        <f>COUNTIF(D2:D1048576,"Точный счёт + исход ""Другой""")</f>
        <v>0</v>
      </c>
      <c r="AR25" s="95">
        <f>COUNTIF(D2:D1048576, "Кол-во голов")</f>
        <v>0</v>
      </c>
      <c r="AS25" s="97">
        <f>COUNTIF(D2:D1048576, "Инд. Тотал")</f>
        <v>0</v>
      </c>
    </row>
    <row r="26" spans="1:48" ht="15.75" customHeight="1" thickTop="1" thickBot="1" x14ac:dyDescent="0.35">
      <c r="A26" s="50"/>
      <c r="B26" s="51"/>
      <c r="D26" s="119"/>
      <c r="E26" s="115" t="s">
        <v>16</v>
      </c>
      <c r="F26" s="25"/>
      <c r="G26" s="25"/>
      <c r="H26" s="26" t="e">
        <f>(F26*100)/G26</f>
        <v>#DIV/0!</v>
      </c>
      <c r="I26" s="36"/>
      <c r="J26" s="21">
        <f t="shared" si="1"/>
        <v>0</v>
      </c>
      <c r="K26" s="26" t="e">
        <f t="shared" si="2"/>
        <v>#DIV/0!</v>
      </c>
      <c r="L26" s="72" t="e">
        <f t="shared" si="3"/>
        <v>#DIV/0!</v>
      </c>
      <c r="M26" s="77" t="e">
        <f t="shared" si="4"/>
        <v>#DIV/0!</v>
      </c>
      <c r="N26" s="4"/>
      <c r="O26" s="28"/>
      <c r="P26" s="19" t="s">
        <v>39</v>
      </c>
      <c r="Q26" s="30">
        <f t="shared" si="5"/>
        <v>-2</v>
      </c>
      <c r="R26" s="38"/>
      <c r="AL26" s="139">
        <f>SUM(A2:A71)</f>
        <v>0</v>
      </c>
      <c r="AM26" s="140">
        <f>SUM(B2:B71)</f>
        <v>0</v>
      </c>
      <c r="AO26" s="92" t="s">
        <v>191</v>
      </c>
      <c r="AP26" s="94" t="s">
        <v>192</v>
      </c>
      <c r="AQ26" s="94" t="s">
        <v>193</v>
      </c>
      <c r="AR26" s="94" t="s">
        <v>194</v>
      </c>
      <c r="AS26" s="98" t="s">
        <v>195</v>
      </c>
    </row>
    <row r="27" spans="1:48" ht="15.75" customHeight="1" thickTop="1" thickBot="1" x14ac:dyDescent="0.35">
      <c r="A27" s="50"/>
      <c r="B27" s="51"/>
      <c r="D27" s="119"/>
      <c r="E27" s="115" t="s">
        <v>16</v>
      </c>
      <c r="F27" s="23"/>
      <c r="G27" s="23"/>
      <c r="H27" s="24" t="e">
        <f t="shared" ref="H27:H71" si="6">(F27*100)/G27</f>
        <v>#DIV/0!</v>
      </c>
      <c r="I27" s="33"/>
      <c r="J27" s="21">
        <f t="shared" si="1"/>
        <v>0</v>
      </c>
      <c r="K27" s="24" t="e">
        <f t="shared" si="2"/>
        <v>#DIV/0!</v>
      </c>
      <c r="L27" s="70" t="e">
        <f t="shared" si="3"/>
        <v>#DIV/0!</v>
      </c>
      <c r="M27" s="75" t="e">
        <f t="shared" si="4"/>
        <v>#DIV/0!</v>
      </c>
      <c r="N27" s="1"/>
      <c r="O27" s="28"/>
      <c r="P27" s="19" t="s">
        <v>39</v>
      </c>
      <c r="Q27" s="31">
        <f t="shared" si="5"/>
        <v>-2</v>
      </c>
      <c r="R27" s="38"/>
      <c r="AL27" s="196" t="s">
        <v>244</v>
      </c>
      <c r="AM27" s="197"/>
      <c r="AO27" s="93">
        <f>COUNTIF(D2:D1048576, "Обе команды забьют")</f>
        <v>0</v>
      </c>
      <c r="AP27" s="95">
        <f>COUNTIF(D2:D1048576, "Сколько команд забьёт")</f>
        <v>0</v>
      </c>
      <c r="AQ27" s="95">
        <f>COUNTIF(D2:D1048576, "Кто забьёт 1-й гол")</f>
        <v>0</v>
      </c>
      <c r="AR27" s="95">
        <f>COUNTIF(D2:D1048576, "Кто забьёт последний гол")</f>
        <v>0</v>
      </c>
      <c r="AS27" s="97">
        <f>COUNTIF(D2:D1048576, "Наиболее результативный тайм")</f>
        <v>0</v>
      </c>
    </row>
    <row r="28" spans="1:48" ht="15.75" customHeight="1" thickTop="1" thickBot="1" x14ac:dyDescent="0.35">
      <c r="A28" s="50"/>
      <c r="B28" s="51"/>
      <c r="D28" s="119"/>
      <c r="E28" s="115" t="s">
        <v>16</v>
      </c>
      <c r="F28" s="23"/>
      <c r="G28" s="23"/>
      <c r="H28" s="24" t="e">
        <f t="shared" si="6"/>
        <v>#DIV/0!</v>
      </c>
      <c r="I28" s="33"/>
      <c r="J28" s="21">
        <f t="shared" si="1"/>
        <v>0</v>
      </c>
      <c r="K28" s="24" t="e">
        <f t="shared" si="2"/>
        <v>#DIV/0!</v>
      </c>
      <c r="L28" s="70" t="e">
        <f t="shared" si="3"/>
        <v>#DIV/0!</v>
      </c>
      <c r="M28" s="75" t="e">
        <f t="shared" si="4"/>
        <v>#DIV/0!</v>
      </c>
      <c r="N28" s="1"/>
      <c r="O28" s="28"/>
      <c r="P28" s="19" t="s">
        <v>39</v>
      </c>
      <c r="Q28" s="30">
        <f t="shared" si="5"/>
        <v>-2</v>
      </c>
      <c r="R28" s="38"/>
      <c r="AL28" s="198">
        <f>(AM26-AL26)</f>
        <v>0</v>
      </c>
      <c r="AM28" s="199"/>
      <c r="AO28" s="92" t="s">
        <v>196</v>
      </c>
      <c r="AP28" s="94" t="s">
        <v>197</v>
      </c>
      <c r="AQ28" s="94" t="s">
        <v>198</v>
      </c>
      <c r="AR28" s="94" t="s">
        <v>203</v>
      </c>
      <c r="AS28" s="98" t="s">
        <v>199</v>
      </c>
    </row>
    <row r="29" spans="1:48" ht="15.75" customHeight="1" thickBot="1" x14ac:dyDescent="0.35">
      <c r="A29" s="50"/>
      <c r="B29" s="51"/>
      <c r="D29" s="119"/>
      <c r="E29" s="115" t="s">
        <v>16</v>
      </c>
      <c r="F29" s="23"/>
      <c r="G29" s="23"/>
      <c r="H29" s="24" t="e">
        <f t="shared" si="6"/>
        <v>#DIV/0!</v>
      </c>
      <c r="I29" s="33"/>
      <c r="J29" s="21">
        <f t="shared" si="1"/>
        <v>0</v>
      </c>
      <c r="K29" s="24" t="e">
        <f t="shared" si="2"/>
        <v>#DIV/0!</v>
      </c>
      <c r="L29" s="70" t="e">
        <f t="shared" si="3"/>
        <v>#DIV/0!</v>
      </c>
      <c r="M29" s="75" t="e">
        <f t="shared" si="4"/>
        <v>#DIV/0!</v>
      </c>
      <c r="N29" s="1"/>
      <c r="O29" s="28"/>
      <c r="P29" s="19" t="s">
        <v>39</v>
      </c>
      <c r="Q29" s="31">
        <f t="shared" si="5"/>
        <v>-2</v>
      </c>
      <c r="R29" s="38"/>
      <c r="AO29" s="93">
        <f>COUNTIF(D2:D1048576, "Чет/нечет")</f>
        <v>0</v>
      </c>
      <c r="AP29" s="95">
        <f>COUNTIF(D2:D1048576, "Победитель + Разница мячей")</f>
        <v>0</v>
      </c>
      <c r="AQ29" s="95">
        <f>COUNTIF(D2:D1048576, "Победитель + Обе забьют")</f>
        <v>0</v>
      </c>
      <c r="AR29" s="95">
        <f>COUNTIF(D2:D1048576, "Победитель + Тотал")</f>
        <v>0</v>
      </c>
      <c r="AS29" s="97">
        <f>COUNTIF(D2:D1048576, "Автор гола")</f>
        <v>0</v>
      </c>
    </row>
    <row r="30" spans="1:48" ht="15.75" customHeight="1" thickTop="1" x14ac:dyDescent="0.3">
      <c r="A30" s="50"/>
      <c r="B30" s="51"/>
      <c r="D30" s="119"/>
      <c r="E30" s="115" t="s">
        <v>16</v>
      </c>
      <c r="F30" s="23"/>
      <c r="G30" s="23"/>
      <c r="H30" s="24" t="e">
        <f t="shared" si="6"/>
        <v>#DIV/0!</v>
      </c>
      <c r="I30" s="33"/>
      <c r="J30" s="21">
        <f t="shared" si="1"/>
        <v>0</v>
      </c>
      <c r="K30" s="24" t="e">
        <f t="shared" si="2"/>
        <v>#DIV/0!</v>
      </c>
      <c r="L30" s="70" t="e">
        <f t="shared" si="3"/>
        <v>#DIV/0!</v>
      </c>
      <c r="M30" s="75" t="e">
        <f t="shared" si="4"/>
        <v>#DIV/0!</v>
      </c>
      <c r="N30" s="1"/>
      <c r="O30" s="28"/>
      <c r="P30" s="19" t="s">
        <v>39</v>
      </c>
      <c r="Q30" s="30">
        <f t="shared" si="5"/>
        <v>-2</v>
      </c>
      <c r="R30" s="38"/>
      <c r="AO30" s="92" t="s">
        <v>200</v>
      </c>
      <c r="AP30" s="94" t="s">
        <v>201</v>
      </c>
      <c r="AQ30" s="94"/>
      <c r="AR30" s="94"/>
      <c r="AS30" s="98"/>
    </row>
    <row r="31" spans="1:48" ht="15.75" customHeight="1" thickBot="1" x14ac:dyDescent="0.35">
      <c r="A31" s="50"/>
      <c r="B31" s="54"/>
      <c r="D31" s="119"/>
      <c r="E31" s="115" t="s">
        <v>16</v>
      </c>
      <c r="F31" s="23"/>
      <c r="G31" s="23"/>
      <c r="H31" s="24" t="e">
        <f t="shared" si="6"/>
        <v>#DIV/0!</v>
      </c>
      <c r="I31" s="33"/>
      <c r="J31" s="21">
        <f t="shared" si="1"/>
        <v>0</v>
      </c>
      <c r="K31" s="24" t="e">
        <f t="shared" si="2"/>
        <v>#DIV/0!</v>
      </c>
      <c r="L31" s="70" t="e">
        <f t="shared" si="3"/>
        <v>#DIV/0!</v>
      </c>
      <c r="M31" s="75" t="e">
        <f t="shared" si="4"/>
        <v>#DIV/0!</v>
      </c>
      <c r="N31" s="1"/>
      <c r="O31" s="28"/>
      <c r="P31" s="19" t="s">
        <v>39</v>
      </c>
      <c r="Q31" s="31">
        <f t="shared" si="5"/>
        <v>-2</v>
      </c>
      <c r="R31" s="38"/>
      <c r="AO31" s="121">
        <f>COUNTIF(D2:D1048576, "Лучший бомбардир")</f>
        <v>0</v>
      </c>
      <c r="AP31" s="122">
        <f>COUNTIF(D2:D1048576, "Победитель турнира")</f>
        <v>0</v>
      </c>
      <c r="AQ31" s="122"/>
      <c r="AR31" s="122"/>
      <c r="AS31" s="123"/>
    </row>
    <row r="32" spans="1:48" ht="15.75" customHeight="1" x14ac:dyDescent="0.3">
      <c r="A32" s="55"/>
      <c r="B32" s="51"/>
      <c r="D32" s="119"/>
      <c r="E32" s="115" t="s">
        <v>16</v>
      </c>
      <c r="F32" s="23"/>
      <c r="G32" s="23"/>
      <c r="H32" s="24" t="e">
        <f t="shared" si="6"/>
        <v>#DIV/0!</v>
      </c>
      <c r="I32" s="33"/>
      <c r="J32" s="21">
        <f t="shared" si="1"/>
        <v>0</v>
      </c>
      <c r="K32" s="24" t="e">
        <f t="shared" si="2"/>
        <v>#DIV/0!</v>
      </c>
      <c r="L32" s="70" t="e">
        <f t="shared" si="3"/>
        <v>#DIV/0!</v>
      </c>
      <c r="M32" s="75" t="e">
        <f t="shared" si="4"/>
        <v>#DIV/0!</v>
      </c>
      <c r="N32" s="1"/>
      <c r="O32" s="28"/>
      <c r="P32" s="19" t="s">
        <v>39</v>
      </c>
      <c r="Q32" s="30">
        <f t="shared" si="5"/>
        <v>-2</v>
      </c>
      <c r="R32" s="38"/>
    </row>
    <row r="33" spans="1:18" ht="15" customHeight="1" x14ac:dyDescent="0.3">
      <c r="A33" s="50"/>
      <c r="B33" s="49"/>
      <c r="D33" s="119"/>
      <c r="E33" s="115" t="s">
        <v>16</v>
      </c>
      <c r="F33" s="23"/>
      <c r="G33" s="23"/>
      <c r="H33" s="24" t="e">
        <f t="shared" si="6"/>
        <v>#DIV/0!</v>
      </c>
      <c r="I33" s="33"/>
      <c r="J33" s="21">
        <f t="shared" si="1"/>
        <v>0</v>
      </c>
      <c r="K33" s="24" t="e">
        <f t="shared" si="2"/>
        <v>#DIV/0!</v>
      </c>
      <c r="L33" s="70" t="e">
        <f t="shared" si="3"/>
        <v>#DIV/0!</v>
      </c>
      <c r="M33" s="75" t="e">
        <f t="shared" si="4"/>
        <v>#DIV/0!</v>
      </c>
      <c r="N33" s="1"/>
      <c r="O33" s="28"/>
      <c r="P33" s="19" t="s">
        <v>39</v>
      </c>
      <c r="Q33" s="30">
        <f t="shared" si="5"/>
        <v>-2</v>
      </c>
      <c r="R33" s="38"/>
    </row>
    <row r="34" spans="1:18" ht="15" customHeight="1" x14ac:dyDescent="0.3">
      <c r="A34" s="50"/>
      <c r="B34" s="51"/>
      <c r="D34" s="119"/>
      <c r="E34" s="115" t="s">
        <v>16</v>
      </c>
      <c r="F34" s="23"/>
      <c r="G34" s="23"/>
      <c r="H34" s="24" t="e">
        <f t="shared" si="6"/>
        <v>#DIV/0!</v>
      </c>
      <c r="I34" s="33"/>
      <c r="J34" s="21">
        <f t="shared" si="1"/>
        <v>0</v>
      </c>
      <c r="K34" s="24" t="e">
        <f t="shared" si="2"/>
        <v>#DIV/0!</v>
      </c>
      <c r="L34" s="70" t="e">
        <f t="shared" si="3"/>
        <v>#DIV/0!</v>
      </c>
      <c r="M34" s="75" t="e">
        <f t="shared" si="4"/>
        <v>#DIV/0!</v>
      </c>
      <c r="N34" s="1"/>
      <c r="O34" s="28"/>
      <c r="P34" s="19" t="s">
        <v>39</v>
      </c>
      <c r="Q34" s="30">
        <f t="shared" si="5"/>
        <v>-2</v>
      </c>
      <c r="R34" s="38"/>
    </row>
    <row r="35" spans="1:18" ht="15" customHeight="1" x14ac:dyDescent="0.3">
      <c r="A35" s="50"/>
      <c r="B35" s="51"/>
      <c r="D35" s="119"/>
      <c r="E35" s="115" t="s">
        <v>16</v>
      </c>
      <c r="F35" s="23"/>
      <c r="G35" s="23"/>
      <c r="H35" s="24" t="e">
        <f t="shared" si="6"/>
        <v>#DIV/0!</v>
      </c>
      <c r="I35" s="33"/>
      <c r="J35" s="21">
        <f t="shared" si="1"/>
        <v>0</v>
      </c>
      <c r="K35" s="24" t="e">
        <f t="shared" si="2"/>
        <v>#DIV/0!</v>
      </c>
      <c r="L35" s="70" t="e">
        <f t="shared" si="3"/>
        <v>#DIV/0!</v>
      </c>
      <c r="M35" s="75" t="e">
        <f t="shared" si="4"/>
        <v>#DIV/0!</v>
      </c>
      <c r="N35" s="1"/>
      <c r="O35" s="28"/>
      <c r="P35" s="19" t="s">
        <v>39</v>
      </c>
      <c r="Q35" s="30">
        <f t="shared" si="5"/>
        <v>-2</v>
      </c>
      <c r="R35" s="38"/>
    </row>
    <row r="36" spans="1:18" ht="15" customHeight="1" x14ac:dyDescent="0.3">
      <c r="A36" s="50"/>
      <c r="B36" s="51"/>
      <c r="D36" s="119"/>
      <c r="E36" s="115" t="s">
        <v>16</v>
      </c>
      <c r="F36" s="23"/>
      <c r="G36" s="23"/>
      <c r="H36" s="24" t="e">
        <f t="shared" si="6"/>
        <v>#DIV/0!</v>
      </c>
      <c r="I36" s="33"/>
      <c r="J36" s="21">
        <f t="shared" si="1"/>
        <v>0</v>
      </c>
      <c r="K36" s="24" t="e">
        <f t="shared" si="2"/>
        <v>#DIV/0!</v>
      </c>
      <c r="L36" s="70" t="e">
        <f t="shared" si="3"/>
        <v>#DIV/0!</v>
      </c>
      <c r="M36" s="75" t="e">
        <f t="shared" si="4"/>
        <v>#DIV/0!</v>
      </c>
      <c r="N36" s="1"/>
      <c r="O36" s="28"/>
      <c r="P36" s="19" t="s">
        <v>39</v>
      </c>
      <c r="Q36" s="30">
        <f t="shared" si="5"/>
        <v>-2</v>
      </c>
      <c r="R36" s="38"/>
    </row>
    <row r="37" spans="1:18" ht="15" customHeight="1" x14ac:dyDescent="0.3">
      <c r="A37" s="50"/>
      <c r="B37" s="51"/>
      <c r="D37" s="119"/>
      <c r="E37" s="115" t="s">
        <v>16</v>
      </c>
      <c r="F37" s="23"/>
      <c r="G37" s="23"/>
      <c r="H37" s="24" t="e">
        <f t="shared" si="6"/>
        <v>#DIV/0!</v>
      </c>
      <c r="I37" s="33"/>
      <c r="J37" s="21">
        <f t="shared" si="1"/>
        <v>0</v>
      </c>
      <c r="K37" s="24" t="e">
        <f t="shared" si="2"/>
        <v>#DIV/0!</v>
      </c>
      <c r="L37" s="70" t="e">
        <f t="shared" si="3"/>
        <v>#DIV/0!</v>
      </c>
      <c r="M37" s="75" t="e">
        <f t="shared" si="4"/>
        <v>#DIV/0!</v>
      </c>
      <c r="N37" s="1"/>
      <c r="O37" s="28"/>
      <c r="P37" s="19" t="s">
        <v>39</v>
      </c>
      <c r="Q37" s="30">
        <f t="shared" si="5"/>
        <v>-2</v>
      </c>
      <c r="R37" s="38"/>
    </row>
    <row r="38" spans="1:18" ht="15" customHeight="1" x14ac:dyDescent="0.3">
      <c r="A38" s="50"/>
      <c r="B38" s="51"/>
      <c r="D38" s="119"/>
      <c r="E38" s="115" t="s">
        <v>16</v>
      </c>
      <c r="F38" s="23"/>
      <c r="G38" s="23"/>
      <c r="H38" s="24" t="e">
        <f t="shared" si="6"/>
        <v>#DIV/0!</v>
      </c>
      <c r="I38" s="33"/>
      <c r="J38" s="21">
        <f t="shared" si="1"/>
        <v>0</v>
      </c>
      <c r="K38" s="24" t="e">
        <f t="shared" si="2"/>
        <v>#DIV/0!</v>
      </c>
      <c r="L38" s="70" t="e">
        <f t="shared" si="3"/>
        <v>#DIV/0!</v>
      </c>
      <c r="M38" s="75" t="e">
        <f t="shared" si="4"/>
        <v>#DIV/0!</v>
      </c>
      <c r="N38" s="1"/>
      <c r="O38" s="28"/>
      <c r="P38" s="19" t="s">
        <v>39</v>
      </c>
      <c r="Q38" s="30">
        <f t="shared" si="5"/>
        <v>-2</v>
      </c>
      <c r="R38" s="38"/>
    </row>
    <row r="39" spans="1:18" ht="15" customHeight="1" x14ac:dyDescent="0.3">
      <c r="A39" s="50"/>
      <c r="B39" s="51"/>
      <c r="D39" s="119"/>
      <c r="E39" s="115" t="s">
        <v>16</v>
      </c>
      <c r="F39" s="23"/>
      <c r="G39" s="23"/>
      <c r="H39" s="24" t="e">
        <f t="shared" si="6"/>
        <v>#DIV/0!</v>
      </c>
      <c r="I39" s="33"/>
      <c r="J39" s="21">
        <f t="shared" si="1"/>
        <v>0</v>
      </c>
      <c r="K39" s="24" t="e">
        <f t="shared" si="2"/>
        <v>#DIV/0!</v>
      </c>
      <c r="L39" s="70" t="e">
        <f t="shared" si="3"/>
        <v>#DIV/0!</v>
      </c>
      <c r="M39" s="75" t="e">
        <f t="shared" si="4"/>
        <v>#DIV/0!</v>
      </c>
      <c r="N39" s="1"/>
      <c r="O39" s="28"/>
      <c r="P39" s="19" t="s">
        <v>39</v>
      </c>
      <c r="Q39" s="30">
        <f t="shared" si="5"/>
        <v>-2</v>
      </c>
      <c r="R39" s="38"/>
    </row>
    <row r="40" spans="1:18" ht="15" customHeight="1" x14ac:dyDescent="0.3">
      <c r="A40" s="50"/>
      <c r="B40" s="51"/>
      <c r="D40" s="119"/>
      <c r="E40" s="115" t="s">
        <v>16</v>
      </c>
      <c r="F40" s="23"/>
      <c r="G40" s="23"/>
      <c r="H40" s="24" t="e">
        <f t="shared" si="6"/>
        <v>#DIV/0!</v>
      </c>
      <c r="I40" s="33"/>
      <c r="J40" s="21">
        <f t="shared" si="1"/>
        <v>0</v>
      </c>
      <c r="K40" s="24" t="e">
        <f t="shared" si="2"/>
        <v>#DIV/0!</v>
      </c>
      <c r="L40" s="70" t="e">
        <f t="shared" si="3"/>
        <v>#DIV/0!</v>
      </c>
      <c r="M40" s="75" t="e">
        <f t="shared" si="4"/>
        <v>#DIV/0!</v>
      </c>
      <c r="N40" s="1"/>
      <c r="O40" s="28"/>
      <c r="P40" s="19" t="s">
        <v>39</v>
      </c>
      <c r="Q40" s="30">
        <f t="shared" si="5"/>
        <v>-2</v>
      </c>
      <c r="R40" s="38"/>
    </row>
    <row r="41" spans="1:18" ht="15" customHeight="1" x14ac:dyDescent="0.3">
      <c r="A41" s="50"/>
      <c r="B41" s="51"/>
      <c r="D41" s="119"/>
      <c r="E41" s="115" t="s">
        <v>16</v>
      </c>
      <c r="F41" s="23"/>
      <c r="G41" s="23"/>
      <c r="H41" s="24" t="e">
        <f t="shared" si="6"/>
        <v>#DIV/0!</v>
      </c>
      <c r="I41" s="33"/>
      <c r="J41" s="21">
        <f t="shared" si="1"/>
        <v>0</v>
      </c>
      <c r="K41" s="24" t="e">
        <f t="shared" si="2"/>
        <v>#DIV/0!</v>
      </c>
      <c r="L41" s="70" t="e">
        <f t="shared" si="3"/>
        <v>#DIV/0!</v>
      </c>
      <c r="M41" s="75" t="e">
        <f t="shared" si="4"/>
        <v>#DIV/0!</v>
      </c>
      <c r="N41" s="1"/>
      <c r="O41" s="28"/>
      <c r="P41" s="19" t="s">
        <v>39</v>
      </c>
      <c r="Q41" s="30">
        <f t="shared" si="5"/>
        <v>-2</v>
      </c>
      <c r="R41" s="38"/>
    </row>
    <row r="42" spans="1:18" ht="15" customHeight="1" x14ac:dyDescent="0.3">
      <c r="A42" s="50"/>
      <c r="B42" s="51"/>
      <c r="D42" s="119"/>
      <c r="E42" s="115" t="s">
        <v>16</v>
      </c>
      <c r="F42" s="23"/>
      <c r="G42" s="23"/>
      <c r="H42" s="24" t="e">
        <f t="shared" si="6"/>
        <v>#DIV/0!</v>
      </c>
      <c r="I42" s="33"/>
      <c r="J42" s="21">
        <f t="shared" si="1"/>
        <v>0</v>
      </c>
      <c r="K42" s="24" t="e">
        <f t="shared" si="2"/>
        <v>#DIV/0!</v>
      </c>
      <c r="L42" s="70" t="e">
        <f t="shared" si="3"/>
        <v>#DIV/0!</v>
      </c>
      <c r="M42" s="75" t="e">
        <f t="shared" si="4"/>
        <v>#DIV/0!</v>
      </c>
      <c r="N42" s="1"/>
      <c r="O42" s="28"/>
      <c r="P42" s="19" t="s">
        <v>39</v>
      </c>
      <c r="Q42" s="30">
        <f t="shared" si="5"/>
        <v>-2</v>
      </c>
      <c r="R42" s="38"/>
    </row>
    <row r="43" spans="1:18" ht="15" customHeight="1" x14ac:dyDescent="0.3">
      <c r="A43" s="50"/>
      <c r="B43" s="51"/>
      <c r="D43" s="119"/>
      <c r="E43" s="115" t="s">
        <v>16</v>
      </c>
      <c r="F43" s="23"/>
      <c r="G43" s="23"/>
      <c r="H43" s="24" t="e">
        <f t="shared" si="6"/>
        <v>#DIV/0!</v>
      </c>
      <c r="I43" s="33"/>
      <c r="J43" s="21">
        <f t="shared" si="1"/>
        <v>0</v>
      </c>
      <c r="K43" s="24" t="e">
        <f t="shared" si="2"/>
        <v>#DIV/0!</v>
      </c>
      <c r="L43" s="70" t="e">
        <f t="shared" si="3"/>
        <v>#DIV/0!</v>
      </c>
      <c r="M43" s="75" t="e">
        <f t="shared" si="4"/>
        <v>#DIV/0!</v>
      </c>
      <c r="N43" s="1"/>
      <c r="O43" s="28"/>
      <c r="P43" s="19" t="s">
        <v>39</v>
      </c>
      <c r="Q43" s="30">
        <f t="shared" si="5"/>
        <v>-2</v>
      </c>
      <c r="R43" s="38"/>
    </row>
    <row r="44" spans="1:18" ht="15" customHeight="1" x14ac:dyDescent="0.3">
      <c r="A44" s="50"/>
      <c r="B44" s="51"/>
      <c r="D44" s="119"/>
      <c r="E44" s="115" t="s">
        <v>16</v>
      </c>
      <c r="F44" s="23"/>
      <c r="G44" s="23"/>
      <c r="H44" s="24" t="e">
        <f t="shared" si="6"/>
        <v>#DIV/0!</v>
      </c>
      <c r="I44" s="33"/>
      <c r="J44" s="21">
        <f t="shared" si="1"/>
        <v>0</v>
      </c>
      <c r="K44" s="24" t="e">
        <f t="shared" si="2"/>
        <v>#DIV/0!</v>
      </c>
      <c r="L44" s="70" t="e">
        <f t="shared" si="3"/>
        <v>#DIV/0!</v>
      </c>
      <c r="M44" s="75" t="e">
        <f t="shared" si="4"/>
        <v>#DIV/0!</v>
      </c>
      <c r="N44" s="1"/>
      <c r="O44" s="28"/>
      <c r="P44" s="19" t="s">
        <v>39</v>
      </c>
      <c r="Q44" s="30">
        <f t="shared" si="5"/>
        <v>-2</v>
      </c>
      <c r="R44" s="38"/>
    </row>
    <row r="45" spans="1:18" x14ac:dyDescent="0.3">
      <c r="A45" s="50"/>
      <c r="B45" s="51"/>
      <c r="D45" s="119"/>
      <c r="E45" s="115" t="s">
        <v>16</v>
      </c>
      <c r="F45" s="23"/>
      <c r="G45" s="23"/>
      <c r="H45" s="24" t="e">
        <f t="shared" si="6"/>
        <v>#DIV/0!</v>
      </c>
      <c r="I45" s="33"/>
      <c r="J45" s="21">
        <f t="shared" si="1"/>
        <v>0</v>
      </c>
      <c r="K45" s="24" t="e">
        <f t="shared" si="2"/>
        <v>#DIV/0!</v>
      </c>
      <c r="L45" s="70" t="e">
        <f t="shared" si="3"/>
        <v>#DIV/0!</v>
      </c>
      <c r="M45" s="75" t="e">
        <f t="shared" si="4"/>
        <v>#DIV/0!</v>
      </c>
      <c r="N45" s="1"/>
      <c r="O45" s="28"/>
      <c r="P45" s="19" t="s">
        <v>39</v>
      </c>
      <c r="Q45" s="30">
        <f t="shared" si="5"/>
        <v>-2</v>
      </c>
      <c r="R45" s="38"/>
    </row>
    <row r="46" spans="1:18" x14ac:dyDescent="0.3">
      <c r="A46" s="50"/>
      <c r="B46" s="51"/>
      <c r="D46" s="119"/>
      <c r="E46" s="115" t="s">
        <v>16</v>
      </c>
      <c r="F46" s="23"/>
      <c r="G46" s="23"/>
      <c r="H46" s="24" t="e">
        <f t="shared" si="6"/>
        <v>#DIV/0!</v>
      </c>
      <c r="I46" s="33"/>
      <c r="J46" s="21">
        <f t="shared" si="1"/>
        <v>0</v>
      </c>
      <c r="K46" s="24" t="e">
        <f t="shared" si="2"/>
        <v>#DIV/0!</v>
      </c>
      <c r="L46" s="70" t="e">
        <f t="shared" si="3"/>
        <v>#DIV/0!</v>
      </c>
      <c r="M46" s="75" t="e">
        <f t="shared" si="4"/>
        <v>#DIV/0!</v>
      </c>
      <c r="N46" s="1"/>
      <c r="O46" s="28"/>
      <c r="P46" s="19" t="s">
        <v>39</v>
      </c>
      <c r="Q46" s="30">
        <f t="shared" si="5"/>
        <v>-2</v>
      </c>
      <c r="R46" s="38"/>
    </row>
    <row r="47" spans="1:18" x14ac:dyDescent="0.3">
      <c r="A47" s="50"/>
      <c r="B47" s="51"/>
      <c r="D47" s="119"/>
      <c r="E47" s="115" t="s">
        <v>16</v>
      </c>
      <c r="F47" s="23"/>
      <c r="G47" s="23"/>
      <c r="H47" s="24" t="e">
        <f t="shared" si="6"/>
        <v>#DIV/0!</v>
      </c>
      <c r="I47" s="33"/>
      <c r="J47" s="21">
        <f t="shared" si="1"/>
        <v>0</v>
      </c>
      <c r="K47" s="24" t="e">
        <f t="shared" si="2"/>
        <v>#DIV/0!</v>
      </c>
      <c r="L47" s="70" t="e">
        <f t="shared" si="3"/>
        <v>#DIV/0!</v>
      </c>
      <c r="M47" s="75" t="e">
        <f t="shared" si="4"/>
        <v>#DIV/0!</v>
      </c>
      <c r="N47" s="1"/>
      <c r="O47" s="28"/>
      <c r="P47" s="19" t="s">
        <v>39</v>
      </c>
      <c r="Q47" s="30">
        <f t="shared" si="5"/>
        <v>-2</v>
      </c>
      <c r="R47" s="38"/>
    </row>
    <row r="48" spans="1:18" x14ac:dyDescent="0.3">
      <c r="A48" s="50"/>
      <c r="B48" s="51"/>
      <c r="D48" s="119"/>
      <c r="E48" s="115" t="s">
        <v>16</v>
      </c>
      <c r="F48" s="23"/>
      <c r="G48" s="23"/>
      <c r="H48" s="24" t="e">
        <f t="shared" si="6"/>
        <v>#DIV/0!</v>
      </c>
      <c r="I48" s="33"/>
      <c r="J48" s="21">
        <f t="shared" si="1"/>
        <v>0</v>
      </c>
      <c r="K48" s="24" t="e">
        <f t="shared" si="2"/>
        <v>#DIV/0!</v>
      </c>
      <c r="L48" s="70" t="e">
        <f t="shared" si="3"/>
        <v>#DIV/0!</v>
      </c>
      <c r="M48" s="75" t="e">
        <f t="shared" si="4"/>
        <v>#DIV/0!</v>
      </c>
      <c r="N48" s="1"/>
      <c r="O48" s="28"/>
      <c r="P48" s="19" t="s">
        <v>39</v>
      </c>
      <c r="Q48" s="30">
        <f t="shared" si="5"/>
        <v>-2</v>
      </c>
      <c r="R48" s="38"/>
    </row>
    <row r="49" spans="1:18" x14ac:dyDescent="0.3">
      <c r="A49" s="53"/>
      <c r="B49" s="54"/>
      <c r="D49" s="119"/>
      <c r="E49" s="115" t="s">
        <v>16</v>
      </c>
      <c r="F49" s="23"/>
      <c r="G49" s="23"/>
      <c r="H49" s="24" t="e">
        <f t="shared" si="6"/>
        <v>#DIV/0!</v>
      </c>
      <c r="I49" s="33"/>
      <c r="J49" s="21">
        <f t="shared" si="1"/>
        <v>0</v>
      </c>
      <c r="K49" s="24" t="e">
        <f t="shared" si="2"/>
        <v>#DIV/0!</v>
      </c>
      <c r="L49" s="70" t="e">
        <f t="shared" si="3"/>
        <v>#DIV/0!</v>
      </c>
      <c r="M49" s="75" t="e">
        <f t="shared" si="4"/>
        <v>#DIV/0!</v>
      </c>
      <c r="N49" s="1"/>
      <c r="O49" s="28"/>
      <c r="P49" s="19" t="s">
        <v>39</v>
      </c>
      <c r="Q49" s="30">
        <f t="shared" si="5"/>
        <v>-2</v>
      </c>
      <c r="R49" s="38"/>
    </row>
    <row r="50" spans="1:18" x14ac:dyDescent="0.3">
      <c r="A50" s="50"/>
      <c r="B50" s="51"/>
      <c r="D50" s="119"/>
      <c r="E50" s="115" t="s">
        <v>16</v>
      </c>
      <c r="F50" s="23"/>
      <c r="G50" s="23"/>
      <c r="H50" s="24" t="e">
        <f t="shared" si="6"/>
        <v>#DIV/0!</v>
      </c>
      <c r="I50" s="33"/>
      <c r="J50" s="21">
        <f t="shared" si="1"/>
        <v>0</v>
      </c>
      <c r="K50" s="24" t="e">
        <f t="shared" si="2"/>
        <v>#DIV/0!</v>
      </c>
      <c r="L50" s="70" t="e">
        <f t="shared" si="3"/>
        <v>#DIV/0!</v>
      </c>
      <c r="M50" s="75" t="e">
        <f t="shared" si="4"/>
        <v>#DIV/0!</v>
      </c>
      <c r="N50" s="1"/>
      <c r="O50" s="28"/>
      <c r="P50" s="19" t="s">
        <v>39</v>
      </c>
      <c r="Q50" s="30">
        <f t="shared" si="5"/>
        <v>-2</v>
      </c>
      <c r="R50" s="38"/>
    </row>
    <row r="51" spans="1:18" x14ac:dyDescent="0.3">
      <c r="A51" s="48"/>
      <c r="B51" s="49"/>
      <c r="D51" s="119"/>
      <c r="E51" s="115" t="s">
        <v>16</v>
      </c>
      <c r="F51" s="23"/>
      <c r="G51" s="23"/>
      <c r="H51" s="24" t="e">
        <f t="shared" si="6"/>
        <v>#DIV/0!</v>
      </c>
      <c r="I51" s="33"/>
      <c r="J51" s="21">
        <f t="shared" si="1"/>
        <v>0</v>
      </c>
      <c r="K51" s="24" t="e">
        <f t="shared" si="2"/>
        <v>#DIV/0!</v>
      </c>
      <c r="L51" s="70" t="e">
        <f t="shared" si="3"/>
        <v>#DIV/0!</v>
      </c>
      <c r="M51" s="75" t="e">
        <f t="shared" si="4"/>
        <v>#DIV/0!</v>
      </c>
      <c r="N51" s="1"/>
      <c r="O51" s="28"/>
      <c r="P51" s="19" t="s">
        <v>39</v>
      </c>
      <c r="Q51" s="30">
        <f t="shared" si="5"/>
        <v>-2</v>
      </c>
      <c r="R51" s="38"/>
    </row>
    <row r="52" spans="1:18" x14ac:dyDescent="0.3">
      <c r="A52" s="64"/>
      <c r="B52" s="65"/>
      <c r="D52" s="119"/>
      <c r="E52" s="115" t="s">
        <v>16</v>
      </c>
      <c r="F52" s="23"/>
      <c r="G52" s="23"/>
      <c r="H52" s="24" t="e">
        <f t="shared" si="6"/>
        <v>#DIV/0!</v>
      </c>
      <c r="I52" s="33"/>
      <c r="J52" s="21">
        <f t="shared" si="1"/>
        <v>0</v>
      </c>
      <c r="K52" s="24" t="e">
        <f t="shared" si="2"/>
        <v>#DIV/0!</v>
      </c>
      <c r="L52" s="70" t="e">
        <f t="shared" si="3"/>
        <v>#DIV/0!</v>
      </c>
      <c r="M52" s="75" t="e">
        <f t="shared" si="4"/>
        <v>#DIV/0!</v>
      </c>
      <c r="N52" s="1"/>
      <c r="O52" s="28"/>
      <c r="P52" s="19" t="s">
        <v>39</v>
      </c>
      <c r="Q52" s="30">
        <f t="shared" si="5"/>
        <v>-2</v>
      </c>
      <c r="R52" s="38"/>
    </row>
    <row r="53" spans="1:18" x14ac:dyDescent="0.3">
      <c r="A53" s="64"/>
      <c r="B53" s="65"/>
      <c r="D53" s="119"/>
      <c r="E53" s="115" t="s">
        <v>16</v>
      </c>
      <c r="F53" s="23"/>
      <c r="G53" s="23"/>
      <c r="H53" s="24" t="e">
        <f t="shared" si="6"/>
        <v>#DIV/0!</v>
      </c>
      <c r="I53" s="33"/>
      <c r="J53" s="21">
        <f t="shared" si="1"/>
        <v>0</v>
      </c>
      <c r="K53" s="24" t="e">
        <f t="shared" si="2"/>
        <v>#DIV/0!</v>
      </c>
      <c r="L53" s="70" t="e">
        <f t="shared" si="3"/>
        <v>#DIV/0!</v>
      </c>
      <c r="M53" s="75" t="e">
        <f t="shared" si="4"/>
        <v>#DIV/0!</v>
      </c>
      <c r="N53" s="1"/>
      <c r="O53" s="28"/>
      <c r="P53" s="19" t="s">
        <v>39</v>
      </c>
      <c r="Q53" s="30">
        <f t="shared" si="5"/>
        <v>-2</v>
      </c>
      <c r="R53" s="38"/>
    </row>
    <row r="54" spans="1:18" x14ac:dyDescent="0.3">
      <c r="A54" s="64"/>
      <c r="B54" s="65"/>
      <c r="D54" s="119"/>
      <c r="E54" s="115" t="s">
        <v>16</v>
      </c>
      <c r="F54" s="23"/>
      <c r="G54" s="23"/>
      <c r="H54" s="24" t="e">
        <f t="shared" si="6"/>
        <v>#DIV/0!</v>
      </c>
      <c r="I54" s="33"/>
      <c r="J54" s="21">
        <f t="shared" si="1"/>
        <v>0</v>
      </c>
      <c r="K54" s="24" t="e">
        <f t="shared" si="2"/>
        <v>#DIV/0!</v>
      </c>
      <c r="L54" s="70" t="e">
        <f t="shared" si="3"/>
        <v>#DIV/0!</v>
      </c>
      <c r="M54" s="75" t="e">
        <f t="shared" si="4"/>
        <v>#DIV/0!</v>
      </c>
      <c r="N54" s="1"/>
      <c r="O54" s="28"/>
      <c r="P54" s="19" t="s">
        <v>39</v>
      </c>
      <c r="Q54" s="30">
        <f t="shared" si="5"/>
        <v>-2</v>
      </c>
      <c r="R54" s="38"/>
    </row>
    <row r="55" spans="1:18" x14ac:dyDescent="0.3">
      <c r="A55" s="64"/>
      <c r="B55" s="65"/>
      <c r="D55" s="119"/>
      <c r="E55" s="115" t="s">
        <v>16</v>
      </c>
      <c r="F55" s="23"/>
      <c r="G55" s="23"/>
      <c r="H55" s="24" t="e">
        <f t="shared" si="6"/>
        <v>#DIV/0!</v>
      </c>
      <c r="I55" s="33"/>
      <c r="J55" s="21">
        <f t="shared" si="1"/>
        <v>0</v>
      </c>
      <c r="K55" s="24" t="e">
        <f t="shared" si="2"/>
        <v>#DIV/0!</v>
      </c>
      <c r="L55" s="70" t="e">
        <f t="shared" si="3"/>
        <v>#DIV/0!</v>
      </c>
      <c r="M55" s="75" t="e">
        <f t="shared" si="4"/>
        <v>#DIV/0!</v>
      </c>
      <c r="N55" s="1"/>
      <c r="O55" s="28"/>
      <c r="P55" s="19" t="s">
        <v>39</v>
      </c>
      <c r="Q55" s="30">
        <f t="shared" si="5"/>
        <v>-2</v>
      </c>
      <c r="R55" s="38"/>
    </row>
    <row r="56" spans="1:18" x14ac:dyDescent="0.3">
      <c r="A56" s="64"/>
      <c r="B56" s="65"/>
      <c r="D56" s="119"/>
      <c r="E56" s="115" t="s">
        <v>16</v>
      </c>
      <c r="F56" s="23"/>
      <c r="G56" s="23"/>
      <c r="H56" s="24" t="e">
        <f t="shared" si="6"/>
        <v>#DIV/0!</v>
      </c>
      <c r="I56" s="33"/>
      <c r="J56" s="21">
        <f t="shared" si="1"/>
        <v>0</v>
      </c>
      <c r="K56" s="24" t="e">
        <f t="shared" si="2"/>
        <v>#DIV/0!</v>
      </c>
      <c r="L56" s="70" t="e">
        <f t="shared" si="3"/>
        <v>#DIV/0!</v>
      </c>
      <c r="M56" s="75" t="e">
        <f t="shared" si="4"/>
        <v>#DIV/0!</v>
      </c>
      <c r="N56" s="1"/>
      <c r="O56" s="28"/>
      <c r="P56" s="19" t="s">
        <v>39</v>
      </c>
      <c r="Q56" s="30">
        <f t="shared" si="5"/>
        <v>-2</v>
      </c>
      <c r="R56" s="38"/>
    </row>
    <row r="57" spans="1:18" x14ac:dyDescent="0.3">
      <c r="A57" s="64"/>
      <c r="B57" s="65"/>
      <c r="D57" s="119"/>
      <c r="E57" s="115" t="s">
        <v>16</v>
      </c>
      <c r="F57" s="23"/>
      <c r="G57" s="23"/>
      <c r="H57" s="24" t="e">
        <f t="shared" si="6"/>
        <v>#DIV/0!</v>
      </c>
      <c r="I57" s="33"/>
      <c r="J57" s="21">
        <f t="shared" si="1"/>
        <v>0</v>
      </c>
      <c r="K57" s="24" t="e">
        <f t="shared" si="2"/>
        <v>#DIV/0!</v>
      </c>
      <c r="L57" s="70" t="e">
        <f t="shared" si="3"/>
        <v>#DIV/0!</v>
      </c>
      <c r="M57" s="75" t="e">
        <f t="shared" si="4"/>
        <v>#DIV/0!</v>
      </c>
      <c r="N57" s="1"/>
      <c r="O57" s="28"/>
      <c r="P57" s="19" t="s">
        <v>39</v>
      </c>
      <c r="Q57" s="30">
        <f t="shared" si="5"/>
        <v>-2</v>
      </c>
      <c r="R57" s="38"/>
    </row>
    <row r="58" spans="1:18" x14ac:dyDescent="0.3">
      <c r="A58" s="64"/>
      <c r="B58" s="65"/>
      <c r="D58" s="119"/>
      <c r="E58" s="115" t="s">
        <v>16</v>
      </c>
      <c r="F58" s="23"/>
      <c r="G58" s="23"/>
      <c r="H58" s="24" t="e">
        <f t="shared" si="6"/>
        <v>#DIV/0!</v>
      </c>
      <c r="I58" s="33"/>
      <c r="J58" s="21">
        <f t="shared" si="1"/>
        <v>0</v>
      </c>
      <c r="K58" s="24" t="e">
        <f t="shared" si="2"/>
        <v>#DIV/0!</v>
      </c>
      <c r="L58" s="70" t="e">
        <f t="shared" si="3"/>
        <v>#DIV/0!</v>
      </c>
      <c r="M58" s="75" t="e">
        <f t="shared" si="4"/>
        <v>#DIV/0!</v>
      </c>
      <c r="N58" s="1"/>
      <c r="O58" s="28"/>
      <c r="P58" s="19" t="s">
        <v>39</v>
      </c>
      <c r="Q58" s="30">
        <f t="shared" si="5"/>
        <v>-2</v>
      </c>
      <c r="R58" s="38"/>
    </row>
    <row r="59" spans="1:18" x14ac:dyDescent="0.3">
      <c r="A59" s="64"/>
      <c r="B59" s="65"/>
      <c r="D59" s="119"/>
      <c r="E59" s="115" t="s">
        <v>16</v>
      </c>
      <c r="F59" s="23"/>
      <c r="G59" s="23"/>
      <c r="H59" s="24" t="e">
        <f t="shared" si="6"/>
        <v>#DIV/0!</v>
      </c>
      <c r="I59" s="33"/>
      <c r="J59" s="21">
        <f t="shared" si="1"/>
        <v>0</v>
      </c>
      <c r="K59" s="24" t="e">
        <f t="shared" si="2"/>
        <v>#DIV/0!</v>
      </c>
      <c r="L59" s="70" t="e">
        <f t="shared" si="3"/>
        <v>#DIV/0!</v>
      </c>
      <c r="M59" s="75" t="e">
        <f t="shared" si="4"/>
        <v>#DIV/0!</v>
      </c>
      <c r="N59" s="1"/>
      <c r="O59" s="28"/>
      <c r="P59" s="19" t="s">
        <v>39</v>
      </c>
      <c r="Q59" s="30">
        <f t="shared" si="5"/>
        <v>-2</v>
      </c>
      <c r="R59" s="38"/>
    </row>
    <row r="60" spans="1:18" x14ac:dyDescent="0.3">
      <c r="A60" s="64"/>
      <c r="B60" s="65"/>
      <c r="D60" s="119"/>
      <c r="E60" s="115" t="s">
        <v>16</v>
      </c>
      <c r="F60" s="23"/>
      <c r="G60" s="23"/>
      <c r="H60" s="24" t="e">
        <f t="shared" si="6"/>
        <v>#DIV/0!</v>
      </c>
      <c r="I60" s="33"/>
      <c r="J60" s="21">
        <f t="shared" si="1"/>
        <v>0</v>
      </c>
      <c r="K60" s="24" t="e">
        <f t="shared" si="2"/>
        <v>#DIV/0!</v>
      </c>
      <c r="L60" s="70" t="e">
        <f t="shared" si="3"/>
        <v>#DIV/0!</v>
      </c>
      <c r="M60" s="75" t="e">
        <f t="shared" si="4"/>
        <v>#DIV/0!</v>
      </c>
      <c r="N60" s="1"/>
      <c r="O60" s="28"/>
      <c r="P60" s="19" t="s">
        <v>39</v>
      </c>
      <c r="Q60" s="30">
        <f t="shared" si="5"/>
        <v>-2</v>
      </c>
      <c r="R60" s="38"/>
    </row>
    <row r="61" spans="1:18" x14ac:dyDescent="0.3">
      <c r="A61" s="64"/>
      <c r="B61" s="65"/>
      <c r="D61" s="119"/>
      <c r="E61" s="115" t="s">
        <v>16</v>
      </c>
      <c r="F61" s="23"/>
      <c r="G61" s="23"/>
      <c r="H61" s="24" t="e">
        <f t="shared" si="6"/>
        <v>#DIV/0!</v>
      </c>
      <c r="I61" s="33"/>
      <c r="J61" s="21">
        <f t="shared" si="1"/>
        <v>0</v>
      </c>
      <c r="K61" s="24" t="e">
        <f t="shared" si="2"/>
        <v>#DIV/0!</v>
      </c>
      <c r="L61" s="70" t="e">
        <f t="shared" si="3"/>
        <v>#DIV/0!</v>
      </c>
      <c r="M61" s="75" t="e">
        <f t="shared" si="4"/>
        <v>#DIV/0!</v>
      </c>
      <c r="N61" s="1"/>
      <c r="O61" s="28"/>
      <c r="P61" s="19" t="s">
        <v>39</v>
      </c>
      <c r="Q61" s="30">
        <f t="shared" si="5"/>
        <v>-2</v>
      </c>
      <c r="R61" s="38"/>
    </row>
    <row r="62" spans="1:18" x14ac:dyDescent="0.3">
      <c r="A62" s="64"/>
      <c r="B62" s="65"/>
      <c r="D62" s="119"/>
      <c r="E62" s="115" t="s">
        <v>16</v>
      </c>
      <c r="F62" s="23"/>
      <c r="G62" s="23"/>
      <c r="H62" s="24" t="e">
        <f t="shared" si="6"/>
        <v>#DIV/0!</v>
      </c>
      <c r="I62" s="33"/>
      <c r="J62" s="21">
        <f t="shared" si="1"/>
        <v>0</v>
      </c>
      <c r="K62" s="24" t="e">
        <f t="shared" si="2"/>
        <v>#DIV/0!</v>
      </c>
      <c r="L62" s="70" t="e">
        <f t="shared" si="3"/>
        <v>#DIV/0!</v>
      </c>
      <c r="M62" s="75" t="e">
        <f t="shared" si="4"/>
        <v>#DIV/0!</v>
      </c>
      <c r="N62" s="1"/>
      <c r="O62" s="28"/>
      <c r="P62" s="19" t="s">
        <v>39</v>
      </c>
      <c r="Q62" s="30">
        <f t="shared" si="5"/>
        <v>-2</v>
      </c>
      <c r="R62" s="38"/>
    </row>
    <row r="63" spans="1:18" x14ac:dyDescent="0.3">
      <c r="A63" s="64"/>
      <c r="B63" s="65"/>
      <c r="D63" s="119"/>
      <c r="E63" s="115" t="s">
        <v>16</v>
      </c>
      <c r="F63" s="23"/>
      <c r="G63" s="23"/>
      <c r="H63" s="24" t="e">
        <f t="shared" si="6"/>
        <v>#DIV/0!</v>
      </c>
      <c r="I63" s="33"/>
      <c r="J63" s="21">
        <f t="shared" si="1"/>
        <v>0</v>
      </c>
      <c r="K63" s="24" t="e">
        <f t="shared" si="2"/>
        <v>#DIV/0!</v>
      </c>
      <c r="L63" s="70" t="e">
        <f t="shared" si="3"/>
        <v>#DIV/0!</v>
      </c>
      <c r="M63" s="75" t="e">
        <f t="shared" si="4"/>
        <v>#DIV/0!</v>
      </c>
      <c r="N63" s="1"/>
      <c r="O63" s="28"/>
      <c r="P63" s="19" t="s">
        <v>39</v>
      </c>
      <c r="Q63" s="30">
        <f t="shared" si="5"/>
        <v>-2</v>
      </c>
      <c r="R63" s="38"/>
    </row>
    <row r="64" spans="1:18" x14ac:dyDescent="0.3">
      <c r="A64" s="64"/>
      <c r="B64" s="65"/>
      <c r="D64" s="119"/>
      <c r="E64" s="115" t="s">
        <v>16</v>
      </c>
      <c r="F64" s="23"/>
      <c r="G64" s="23"/>
      <c r="H64" s="24" t="e">
        <f t="shared" si="6"/>
        <v>#DIV/0!</v>
      </c>
      <c r="I64" s="33"/>
      <c r="J64" s="21">
        <f t="shared" si="1"/>
        <v>0</v>
      </c>
      <c r="K64" s="24" t="e">
        <f t="shared" si="2"/>
        <v>#DIV/0!</v>
      </c>
      <c r="L64" s="70" t="e">
        <f t="shared" si="3"/>
        <v>#DIV/0!</v>
      </c>
      <c r="M64" s="75" t="e">
        <f t="shared" si="4"/>
        <v>#DIV/0!</v>
      </c>
      <c r="N64" s="1"/>
      <c r="O64" s="28"/>
      <c r="P64" s="19" t="s">
        <v>39</v>
      </c>
      <c r="Q64" s="30">
        <f t="shared" si="5"/>
        <v>-2</v>
      </c>
      <c r="R64" s="38"/>
    </row>
    <row r="65" spans="1:18" x14ac:dyDescent="0.3">
      <c r="A65" s="64"/>
      <c r="B65" s="65"/>
      <c r="D65" s="119"/>
      <c r="E65" s="115" t="s">
        <v>16</v>
      </c>
      <c r="F65" s="23"/>
      <c r="G65" s="23"/>
      <c r="H65" s="24" t="e">
        <f t="shared" si="6"/>
        <v>#DIV/0!</v>
      </c>
      <c r="I65" s="33"/>
      <c r="J65" s="21">
        <f t="shared" si="1"/>
        <v>0</v>
      </c>
      <c r="K65" s="24" t="e">
        <f t="shared" si="2"/>
        <v>#DIV/0!</v>
      </c>
      <c r="L65" s="70" t="e">
        <f t="shared" si="3"/>
        <v>#DIV/0!</v>
      </c>
      <c r="M65" s="75" t="e">
        <f t="shared" si="4"/>
        <v>#DIV/0!</v>
      </c>
      <c r="N65" s="1"/>
      <c r="O65" s="28"/>
      <c r="P65" s="19" t="s">
        <v>39</v>
      </c>
      <c r="Q65" s="30">
        <f t="shared" si="5"/>
        <v>-2</v>
      </c>
      <c r="R65" s="38"/>
    </row>
    <row r="66" spans="1:18" x14ac:dyDescent="0.3">
      <c r="A66" s="64"/>
      <c r="B66" s="65"/>
      <c r="D66" s="119"/>
      <c r="E66" s="115" t="s">
        <v>16</v>
      </c>
      <c r="F66" s="23"/>
      <c r="G66" s="23"/>
      <c r="H66" s="24" t="e">
        <f t="shared" si="6"/>
        <v>#DIV/0!</v>
      </c>
      <c r="I66" s="33"/>
      <c r="J66" s="21">
        <f t="shared" si="1"/>
        <v>0</v>
      </c>
      <c r="K66" s="24" t="e">
        <f t="shared" si="2"/>
        <v>#DIV/0!</v>
      </c>
      <c r="L66" s="70" t="e">
        <f t="shared" si="3"/>
        <v>#DIV/0!</v>
      </c>
      <c r="M66" s="75" t="e">
        <f t="shared" si="4"/>
        <v>#DIV/0!</v>
      </c>
      <c r="N66" s="1"/>
      <c r="O66" s="28"/>
      <c r="P66" s="19" t="s">
        <v>39</v>
      </c>
      <c r="Q66" s="30">
        <f t="shared" si="5"/>
        <v>-2</v>
      </c>
      <c r="R66" s="38"/>
    </row>
    <row r="67" spans="1:18" x14ac:dyDescent="0.3">
      <c r="A67" s="64"/>
      <c r="B67" s="65"/>
      <c r="D67" s="119"/>
      <c r="E67" s="115" t="s">
        <v>16</v>
      </c>
      <c r="F67" s="23"/>
      <c r="G67" s="23"/>
      <c r="H67" s="24" t="e">
        <f t="shared" si="6"/>
        <v>#DIV/0!</v>
      </c>
      <c r="I67" s="33"/>
      <c r="J67" s="21">
        <f t="shared" ref="J67:J71" si="7">F67*I67+IF(N67="Фрибет",(F67*I67-F67)-F67*I67)</f>
        <v>0</v>
      </c>
      <c r="K67" s="24" t="e">
        <f t="shared" ref="K67:K71" si="8">((J67*100)/G67)</f>
        <v>#DIV/0!</v>
      </c>
      <c r="L67" s="70" t="e">
        <f t="shared" ref="L67:L71" si="9">1-M67</f>
        <v>#DIV/0!</v>
      </c>
      <c r="M67" s="75" t="e">
        <f t="shared" ref="M67:M71" si="10">1/I67</f>
        <v>#DIV/0!</v>
      </c>
      <c r="N67" s="1"/>
      <c r="O67" s="28"/>
      <c r="P67" s="19" t="s">
        <v>39</v>
      </c>
      <c r="Q67" s="30">
        <f t="shared" si="5"/>
        <v>-2</v>
      </c>
      <c r="R67" s="38"/>
    </row>
    <row r="68" spans="1:18" x14ac:dyDescent="0.3">
      <c r="A68" s="64"/>
      <c r="B68" s="65"/>
      <c r="D68" s="119"/>
      <c r="E68" s="115" t="s">
        <v>16</v>
      </c>
      <c r="F68" s="23"/>
      <c r="G68" s="23"/>
      <c r="H68" s="24" t="e">
        <f t="shared" si="6"/>
        <v>#DIV/0!</v>
      </c>
      <c r="I68" s="33"/>
      <c r="J68" s="21">
        <f t="shared" si="7"/>
        <v>0</v>
      </c>
      <c r="K68" s="24" t="e">
        <f t="shared" si="8"/>
        <v>#DIV/0!</v>
      </c>
      <c r="L68" s="70" t="e">
        <f t="shared" si="9"/>
        <v>#DIV/0!</v>
      </c>
      <c r="M68" s="75" t="e">
        <f t="shared" si="10"/>
        <v>#DIV/0!</v>
      </c>
      <c r="N68" s="1"/>
      <c r="O68" s="28"/>
      <c r="P68" s="19" t="s">
        <v>39</v>
      </c>
      <c r="Q68" s="30">
        <f t="shared" ref="Q68:Q71" si="11">IF(P68="Победа",1)+IF(P68="Поражение",0)+IF(P68="Не ставил",-2)</f>
        <v>-2</v>
      </c>
      <c r="R68" s="38"/>
    </row>
    <row r="69" spans="1:18" x14ac:dyDescent="0.3">
      <c r="A69" s="64"/>
      <c r="B69" s="65"/>
      <c r="D69" s="119"/>
      <c r="E69" s="115" t="s">
        <v>16</v>
      </c>
      <c r="F69" s="23"/>
      <c r="G69" s="23"/>
      <c r="H69" s="24" t="e">
        <f t="shared" si="6"/>
        <v>#DIV/0!</v>
      </c>
      <c r="I69" s="33"/>
      <c r="J69" s="21">
        <f t="shared" si="7"/>
        <v>0</v>
      </c>
      <c r="K69" s="24" t="e">
        <f t="shared" si="8"/>
        <v>#DIV/0!</v>
      </c>
      <c r="L69" s="70" t="e">
        <f t="shared" si="9"/>
        <v>#DIV/0!</v>
      </c>
      <c r="M69" s="75" t="e">
        <f t="shared" si="10"/>
        <v>#DIV/0!</v>
      </c>
      <c r="N69" s="1"/>
      <c r="O69" s="28"/>
      <c r="P69" s="19" t="s">
        <v>39</v>
      </c>
      <c r="Q69" s="30">
        <f t="shared" si="11"/>
        <v>-2</v>
      </c>
      <c r="R69" s="38"/>
    </row>
    <row r="70" spans="1:18" x14ac:dyDescent="0.3">
      <c r="A70" s="64"/>
      <c r="B70" s="65"/>
      <c r="D70" s="119"/>
      <c r="E70" s="115" t="s">
        <v>16</v>
      </c>
      <c r="F70" s="23"/>
      <c r="G70" s="23"/>
      <c r="H70" s="24" t="e">
        <f t="shared" si="6"/>
        <v>#DIV/0!</v>
      </c>
      <c r="I70" s="33"/>
      <c r="J70" s="21">
        <f t="shared" si="7"/>
        <v>0</v>
      </c>
      <c r="K70" s="24" t="e">
        <f t="shared" si="8"/>
        <v>#DIV/0!</v>
      </c>
      <c r="L70" s="70" t="e">
        <f t="shared" si="9"/>
        <v>#DIV/0!</v>
      </c>
      <c r="M70" s="75" t="e">
        <f t="shared" si="10"/>
        <v>#DIV/0!</v>
      </c>
      <c r="N70" s="1"/>
      <c r="O70" s="28"/>
      <c r="P70" s="19" t="s">
        <v>39</v>
      </c>
      <c r="Q70" s="30">
        <f t="shared" si="11"/>
        <v>-2</v>
      </c>
      <c r="R70" s="38"/>
    </row>
    <row r="71" spans="1:18" ht="15" thickBot="1" x14ac:dyDescent="0.35">
      <c r="A71" s="56"/>
      <c r="B71" s="66"/>
      <c r="D71" s="119"/>
      <c r="E71" s="115" t="s">
        <v>16</v>
      </c>
      <c r="F71" s="23"/>
      <c r="G71" s="23"/>
      <c r="H71" s="24" t="e">
        <f t="shared" si="6"/>
        <v>#DIV/0!</v>
      </c>
      <c r="I71" s="33"/>
      <c r="J71" s="21">
        <f t="shared" si="7"/>
        <v>0</v>
      </c>
      <c r="K71" s="24" t="e">
        <f t="shared" si="8"/>
        <v>#DIV/0!</v>
      </c>
      <c r="L71" s="70" t="e">
        <f t="shared" si="9"/>
        <v>#DIV/0!</v>
      </c>
      <c r="M71" s="75" t="e">
        <f t="shared" si="10"/>
        <v>#DIV/0!</v>
      </c>
      <c r="N71" s="1"/>
      <c r="O71" s="28"/>
      <c r="P71" s="19" t="s">
        <v>39</v>
      </c>
      <c r="Q71" s="30">
        <f t="shared" si="11"/>
        <v>-2</v>
      </c>
      <c r="R71" s="38"/>
    </row>
    <row r="72" spans="1:18" x14ac:dyDescent="0.3">
      <c r="E72"/>
      <c r="F72"/>
      <c r="G72"/>
      <c r="H72"/>
      <c r="I72"/>
      <c r="J72"/>
      <c r="K72"/>
      <c r="L72" s="73"/>
      <c r="M72" s="78"/>
      <c r="O72"/>
      <c r="P72"/>
      <c r="Q72"/>
      <c r="R72"/>
    </row>
    <row r="73" spans="1:18" x14ac:dyDescent="0.3">
      <c r="E73"/>
      <c r="F73"/>
      <c r="G73"/>
      <c r="H73"/>
      <c r="I73"/>
      <c r="J73"/>
      <c r="K73"/>
      <c r="L73" s="73"/>
      <c r="M73" s="78"/>
      <c r="O73"/>
      <c r="P73"/>
      <c r="Q73"/>
      <c r="R73"/>
    </row>
    <row r="74" spans="1:18" x14ac:dyDescent="0.3">
      <c r="E74"/>
      <c r="F74"/>
      <c r="G74"/>
      <c r="H74"/>
      <c r="I74"/>
      <c r="J74"/>
      <c r="K74"/>
      <c r="L74" s="73"/>
      <c r="M74" s="78"/>
      <c r="O74"/>
      <c r="P74"/>
      <c r="Q74"/>
      <c r="R74"/>
    </row>
    <row r="75" spans="1:18" x14ac:dyDescent="0.3">
      <c r="E75"/>
      <c r="F75"/>
      <c r="G75"/>
      <c r="H75"/>
      <c r="I75"/>
      <c r="J75"/>
      <c r="K75"/>
      <c r="L75" s="73"/>
      <c r="M75" s="78"/>
      <c r="O75"/>
      <c r="P75"/>
      <c r="Q75"/>
      <c r="R75"/>
    </row>
    <row r="76" spans="1:18" x14ac:dyDescent="0.3">
      <c r="E76"/>
      <c r="F76"/>
      <c r="G76"/>
      <c r="H76"/>
      <c r="I76"/>
      <c r="J76"/>
      <c r="K76"/>
      <c r="L76" s="73"/>
      <c r="M76" s="78"/>
      <c r="O76"/>
      <c r="P76"/>
      <c r="Q76"/>
      <c r="R76"/>
    </row>
    <row r="77" spans="1:18" x14ac:dyDescent="0.3">
      <c r="E77"/>
      <c r="F77"/>
      <c r="G77"/>
      <c r="H77"/>
      <c r="I77"/>
      <c r="J77"/>
      <c r="K77"/>
      <c r="L77" s="73"/>
      <c r="M77" s="78"/>
      <c r="O77"/>
      <c r="P77"/>
      <c r="Q77"/>
      <c r="R77"/>
    </row>
    <row r="78" spans="1:18" x14ac:dyDescent="0.3">
      <c r="E78"/>
      <c r="F78"/>
      <c r="G78"/>
      <c r="H78"/>
      <c r="I78"/>
      <c r="J78"/>
      <c r="K78"/>
      <c r="L78" s="73"/>
      <c r="M78" s="78"/>
      <c r="O78"/>
      <c r="P78"/>
      <c r="Q78"/>
      <c r="R78"/>
    </row>
    <row r="79" spans="1:18" x14ac:dyDescent="0.3">
      <c r="E79"/>
      <c r="F79"/>
      <c r="G79"/>
      <c r="H79"/>
      <c r="I79"/>
      <c r="J79"/>
      <c r="K79"/>
      <c r="L79" s="73"/>
      <c r="M79" s="78"/>
      <c r="O79"/>
      <c r="P79"/>
      <c r="Q79"/>
      <c r="R79"/>
    </row>
    <row r="80" spans="1:18" x14ac:dyDescent="0.3">
      <c r="E80"/>
      <c r="F80"/>
      <c r="G80"/>
      <c r="H80"/>
      <c r="I80"/>
      <c r="J80"/>
      <c r="K80"/>
      <c r="L80" s="73"/>
      <c r="M80" s="78"/>
      <c r="O80"/>
      <c r="P80"/>
      <c r="Q80"/>
      <c r="R80"/>
    </row>
    <row r="81" spans="12:13" customFormat="1" x14ac:dyDescent="0.3">
      <c r="L81" s="73"/>
      <c r="M81" s="78"/>
    </row>
    <row r="82" spans="12:13" customFormat="1" x14ac:dyDescent="0.3">
      <c r="L82" s="73"/>
      <c r="M82" s="78"/>
    </row>
    <row r="83" spans="12:13" customFormat="1" x14ac:dyDescent="0.3">
      <c r="L83" s="73"/>
      <c r="M83" s="78"/>
    </row>
    <row r="84" spans="12:13" customFormat="1" x14ac:dyDescent="0.3">
      <c r="L84" s="73"/>
      <c r="M84" s="78"/>
    </row>
    <row r="85" spans="12:13" customFormat="1" x14ac:dyDescent="0.3">
      <c r="L85" s="73"/>
      <c r="M85" s="78"/>
    </row>
    <row r="86" spans="12:13" customFormat="1" x14ac:dyDescent="0.3">
      <c r="L86" s="73"/>
      <c r="M86" s="78"/>
    </row>
    <row r="87" spans="12:13" customFormat="1" x14ac:dyDescent="0.3">
      <c r="L87" s="73"/>
      <c r="M87" s="78"/>
    </row>
    <row r="88" spans="12:13" customFormat="1" x14ac:dyDescent="0.3">
      <c r="L88" s="73"/>
      <c r="M88" s="78"/>
    </row>
    <row r="89" spans="12:13" customFormat="1" x14ac:dyDescent="0.3">
      <c r="L89" s="73"/>
      <c r="M89" s="78"/>
    </row>
    <row r="90" spans="12:13" customFormat="1" x14ac:dyDescent="0.3">
      <c r="L90" s="73"/>
      <c r="M90" s="78"/>
    </row>
    <row r="91" spans="12:13" customFormat="1" x14ac:dyDescent="0.3">
      <c r="L91" s="73"/>
      <c r="M91" s="78"/>
    </row>
    <row r="92" spans="12:13" customFormat="1" x14ac:dyDescent="0.3">
      <c r="L92" s="73"/>
      <c r="M92" s="78"/>
    </row>
    <row r="93" spans="12:13" customFormat="1" x14ac:dyDescent="0.3">
      <c r="L93" s="73"/>
      <c r="M93" s="78"/>
    </row>
    <row r="94" spans="12:13" customFormat="1" x14ac:dyDescent="0.3">
      <c r="L94" s="73"/>
      <c r="M94" s="78"/>
    </row>
    <row r="95" spans="12:13" customFormat="1" x14ac:dyDescent="0.3">
      <c r="L95" s="73"/>
      <c r="M95" s="78"/>
    </row>
    <row r="96" spans="12:13" customFormat="1" x14ac:dyDescent="0.3">
      <c r="L96" s="73"/>
      <c r="M96" s="78"/>
    </row>
    <row r="97" spans="12:13" customFormat="1" x14ac:dyDescent="0.3">
      <c r="L97" s="73"/>
      <c r="M97" s="78"/>
    </row>
    <row r="98" spans="12:13" customFormat="1" x14ac:dyDescent="0.3">
      <c r="L98" s="73"/>
      <c r="M98" s="78"/>
    </row>
    <row r="99" spans="12:13" customFormat="1" x14ac:dyDescent="0.3">
      <c r="L99" s="73"/>
      <c r="M99" s="78"/>
    </row>
    <row r="100" spans="12:13" customFormat="1" x14ac:dyDescent="0.3">
      <c r="L100" s="73"/>
      <c r="M100" s="78"/>
    </row>
    <row r="101" spans="12:13" customFormat="1" x14ac:dyDescent="0.3">
      <c r="L101" s="73"/>
      <c r="M101" s="78"/>
    </row>
    <row r="102" spans="12:13" customFormat="1" x14ac:dyDescent="0.3">
      <c r="L102" s="73"/>
      <c r="M102" s="78"/>
    </row>
    <row r="103" spans="12:13" customFormat="1" x14ac:dyDescent="0.3">
      <c r="L103" s="73"/>
      <c r="M103" s="78"/>
    </row>
    <row r="104" spans="12:13" customFormat="1" x14ac:dyDescent="0.3">
      <c r="L104" s="73"/>
      <c r="M104" s="78"/>
    </row>
    <row r="105" spans="12:13" customFormat="1" x14ac:dyDescent="0.3">
      <c r="L105" s="73"/>
      <c r="M105" s="78"/>
    </row>
    <row r="106" spans="12:13" customFormat="1" x14ac:dyDescent="0.3">
      <c r="L106" s="73"/>
      <c r="M106" s="78"/>
    </row>
    <row r="107" spans="12:13" customFormat="1" x14ac:dyDescent="0.3">
      <c r="L107" s="73"/>
      <c r="M107" s="78"/>
    </row>
    <row r="108" spans="12:13" customFormat="1" x14ac:dyDescent="0.3">
      <c r="L108" s="73"/>
      <c r="M108" s="78"/>
    </row>
    <row r="109" spans="12:13" customFormat="1" x14ac:dyDescent="0.3">
      <c r="L109" s="73"/>
      <c r="M109" s="78"/>
    </row>
    <row r="110" spans="12:13" customFormat="1" x14ac:dyDescent="0.3">
      <c r="L110" s="73"/>
      <c r="M110" s="78"/>
    </row>
    <row r="111" spans="12:13" customFormat="1" x14ac:dyDescent="0.3">
      <c r="L111" s="73"/>
      <c r="M111" s="78"/>
    </row>
    <row r="112" spans="12:13" customFormat="1" x14ac:dyDescent="0.3">
      <c r="L112" s="73"/>
      <c r="M112" s="78"/>
    </row>
    <row r="113" spans="12:13" customFormat="1" x14ac:dyDescent="0.3">
      <c r="L113" s="73"/>
      <c r="M113" s="78"/>
    </row>
    <row r="114" spans="12:13" customFormat="1" x14ac:dyDescent="0.3">
      <c r="L114" s="73"/>
      <c r="M114" s="78"/>
    </row>
    <row r="115" spans="12:13" customFormat="1" x14ac:dyDescent="0.3">
      <c r="L115" s="73"/>
      <c r="M115" s="78"/>
    </row>
    <row r="116" spans="12:13" customFormat="1" x14ac:dyDescent="0.3">
      <c r="L116" s="73"/>
      <c r="M116" s="78"/>
    </row>
    <row r="117" spans="12:13" customFormat="1" x14ac:dyDescent="0.3">
      <c r="L117" s="73"/>
      <c r="M117" s="78"/>
    </row>
    <row r="118" spans="12:13" customFormat="1" x14ac:dyDescent="0.3">
      <c r="L118" s="73"/>
      <c r="M118" s="78"/>
    </row>
    <row r="119" spans="12:13" customFormat="1" x14ac:dyDescent="0.3">
      <c r="L119" s="73"/>
      <c r="M119" s="78"/>
    </row>
    <row r="120" spans="12:13" customFormat="1" x14ac:dyDescent="0.3">
      <c r="L120" s="73"/>
      <c r="M120" s="78"/>
    </row>
    <row r="121" spans="12:13" customFormat="1" x14ac:dyDescent="0.3">
      <c r="L121" s="73"/>
      <c r="M121" s="78"/>
    </row>
    <row r="122" spans="12:13" customFormat="1" x14ac:dyDescent="0.3">
      <c r="L122" s="73"/>
      <c r="M122" s="78"/>
    </row>
    <row r="123" spans="12:13" customFormat="1" x14ac:dyDescent="0.3">
      <c r="L123" s="73"/>
      <c r="M123" s="78"/>
    </row>
    <row r="124" spans="12:13" customFormat="1" x14ac:dyDescent="0.3">
      <c r="L124" s="73"/>
      <c r="M124" s="78"/>
    </row>
    <row r="125" spans="12:13" customFormat="1" x14ac:dyDescent="0.3">
      <c r="L125" s="73"/>
      <c r="M125" s="78"/>
    </row>
    <row r="126" spans="12:13" customFormat="1" x14ac:dyDescent="0.3">
      <c r="L126" s="73"/>
      <c r="M126" s="78"/>
    </row>
    <row r="127" spans="12:13" customFormat="1" x14ac:dyDescent="0.3">
      <c r="L127" s="73"/>
      <c r="M127" s="78"/>
    </row>
    <row r="128" spans="12:13" customFormat="1" x14ac:dyDescent="0.3">
      <c r="L128" s="73"/>
      <c r="M128" s="78"/>
    </row>
    <row r="129" spans="12:13" customFormat="1" x14ac:dyDescent="0.3">
      <c r="L129" s="73"/>
      <c r="M129" s="78"/>
    </row>
    <row r="130" spans="12:13" customFormat="1" x14ac:dyDescent="0.3">
      <c r="L130" s="73"/>
      <c r="M130" s="78"/>
    </row>
    <row r="131" spans="12:13" customFormat="1" x14ac:dyDescent="0.3">
      <c r="L131" s="73"/>
      <c r="M131" s="78"/>
    </row>
    <row r="132" spans="12:13" customFormat="1" x14ac:dyDescent="0.3">
      <c r="L132" s="73"/>
      <c r="M132" s="78"/>
    </row>
    <row r="133" spans="12:13" customFormat="1" x14ac:dyDescent="0.3">
      <c r="L133" s="73"/>
      <c r="M133" s="78"/>
    </row>
    <row r="134" spans="12:13" customFormat="1" x14ac:dyDescent="0.3">
      <c r="L134" s="73"/>
      <c r="M134" s="78"/>
    </row>
    <row r="135" spans="12:13" customFormat="1" x14ac:dyDescent="0.3">
      <c r="L135" s="73"/>
      <c r="M135" s="78"/>
    </row>
    <row r="136" spans="12:13" customFormat="1" x14ac:dyDescent="0.3">
      <c r="L136" s="73"/>
      <c r="M136" s="78"/>
    </row>
    <row r="137" spans="12:13" customFormat="1" x14ac:dyDescent="0.3">
      <c r="L137" s="73"/>
      <c r="M137" s="78"/>
    </row>
    <row r="138" spans="12:13" customFormat="1" x14ac:dyDescent="0.3">
      <c r="L138" s="73"/>
      <c r="M138" s="78"/>
    </row>
    <row r="139" spans="12:13" customFormat="1" x14ac:dyDescent="0.3">
      <c r="L139" s="73"/>
      <c r="M139" s="78"/>
    </row>
    <row r="140" spans="12:13" customFormat="1" x14ac:dyDescent="0.3">
      <c r="L140" s="73"/>
      <c r="M140" s="78"/>
    </row>
    <row r="141" spans="12:13" customFormat="1" x14ac:dyDescent="0.3">
      <c r="L141" s="73"/>
      <c r="M141" s="78"/>
    </row>
    <row r="142" spans="12:13" customFormat="1" x14ac:dyDescent="0.3">
      <c r="L142" s="73"/>
      <c r="M142" s="78"/>
    </row>
    <row r="143" spans="12:13" customFormat="1" x14ac:dyDescent="0.3">
      <c r="L143" s="73"/>
      <c r="M143" s="78"/>
    </row>
    <row r="144" spans="12:13" customFormat="1" x14ac:dyDescent="0.3">
      <c r="L144" s="73"/>
      <c r="M144" s="78"/>
    </row>
    <row r="145" spans="12:13" customFormat="1" x14ac:dyDescent="0.3">
      <c r="L145" s="73"/>
      <c r="M145" s="78"/>
    </row>
    <row r="146" spans="12:13" customFormat="1" x14ac:dyDescent="0.3">
      <c r="L146" s="73"/>
      <c r="M146" s="78"/>
    </row>
    <row r="147" spans="12:13" customFormat="1" x14ac:dyDescent="0.3">
      <c r="L147" s="73"/>
      <c r="M147" s="78"/>
    </row>
    <row r="148" spans="12:13" customFormat="1" x14ac:dyDescent="0.3">
      <c r="L148" s="73"/>
      <c r="M148" s="78"/>
    </row>
    <row r="149" spans="12:13" customFormat="1" x14ac:dyDescent="0.3">
      <c r="L149" s="73"/>
      <c r="M149" s="78"/>
    </row>
    <row r="150" spans="12:13" customFormat="1" x14ac:dyDescent="0.3">
      <c r="L150" s="73"/>
      <c r="M150" s="78"/>
    </row>
    <row r="151" spans="12:13" customFormat="1" x14ac:dyDescent="0.3">
      <c r="L151" s="73"/>
      <c r="M151" s="78"/>
    </row>
    <row r="152" spans="12:13" customFormat="1" x14ac:dyDescent="0.3">
      <c r="L152" s="73"/>
      <c r="M152" s="78"/>
    </row>
    <row r="153" spans="12:13" customFormat="1" x14ac:dyDescent="0.3">
      <c r="L153" s="73"/>
      <c r="M153" s="78"/>
    </row>
    <row r="154" spans="12:13" customFormat="1" x14ac:dyDescent="0.3">
      <c r="L154" s="73"/>
      <c r="M154" s="78"/>
    </row>
    <row r="155" spans="12:13" customFormat="1" x14ac:dyDescent="0.3">
      <c r="L155" s="73"/>
      <c r="M155" s="78"/>
    </row>
    <row r="156" spans="12:13" customFormat="1" x14ac:dyDescent="0.3">
      <c r="L156" s="73"/>
      <c r="M156" s="78"/>
    </row>
    <row r="157" spans="12:13" customFormat="1" x14ac:dyDescent="0.3">
      <c r="L157" s="73"/>
      <c r="M157" s="78"/>
    </row>
    <row r="158" spans="12:13" customFormat="1" x14ac:dyDescent="0.3">
      <c r="L158" s="73"/>
      <c r="M158" s="78"/>
    </row>
    <row r="159" spans="12:13" customFormat="1" x14ac:dyDescent="0.3">
      <c r="L159" s="73"/>
      <c r="M159" s="78"/>
    </row>
    <row r="160" spans="12:13" customFormat="1" x14ac:dyDescent="0.3">
      <c r="L160" s="73"/>
      <c r="M160" s="78"/>
    </row>
    <row r="161" spans="12:13" customFormat="1" x14ac:dyDescent="0.3">
      <c r="L161" s="73"/>
      <c r="M161" s="78"/>
    </row>
    <row r="162" spans="12:13" customFormat="1" x14ac:dyDescent="0.3">
      <c r="L162" s="73"/>
      <c r="M162" s="78"/>
    </row>
    <row r="163" spans="12:13" customFormat="1" x14ac:dyDescent="0.3">
      <c r="L163" s="73"/>
      <c r="M163" s="78"/>
    </row>
    <row r="164" spans="12:13" customFormat="1" x14ac:dyDescent="0.3">
      <c r="L164" s="73"/>
      <c r="M164" s="78"/>
    </row>
    <row r="165" spans="12:13" customFormat="1" x14ac:dyDescent="0.3">
      <c r="L165" s="73"/>
      <c r="M165" s="78"/>
    </row>
    <row r="166" spans="12:13" customFormat="1" x14ac:dyDescent="0.3">
      <c r="L166" s="73"/>
      <c r="M166" s="78"/>
    </row>
    <row r="167" spans="12:13" customFormat="1" x14ac:dyDescent="0.3">
      <c r="L167" s="73"/>
      <c r="M167" s="78"/>
    </row>
    <row r="168" spans="12:13" customFormat="1" x14ac:dyDescent="0.3">
      <c r="L168" s="73"/>
      <c r="M168" s="78"/>
    </row>
    <row r="169" spans="12:13" customFormat="1" x14ac:dyDescent="0.3">
      <c r="L169" s="73"/>
      <c r="M169" s="78"/>
    </row>
    <row r="170" spans="12:13" customFormat="1" x14ac:dyDescent="0.3">
      <c r="L170" s="73"/>
      <c r="M170" s="78"/>
    </row>
    <row r="171" spans="12:13" customFormat="1" x14ac:dyDescent="0.3">
      <c r="L171" s="73"/>
      <c r="M171" s="78"/>
    </row>
    <row r="172" spans="12:13" customFormat="1" x14ac:dyDescent="0.3">
      <c r="L172" s="73"/>
      <c r="M172" s="78"/>
    </row>
    <row r="173" spans="12:13" customFormat="1" x14ac:dyDescent="0.3">
      <c r="L173" s="73"/>
      <c r="M173" s="78"/>
    </row>
    <row r="174" spans="12:13" customFormat="1" x14ac:dyDescent="0.3">
      <c r="L174" s="73"/>
      <c r="M174" s="78"/>
    </row>
    <row r="175" spans="12:13" customFormat="1" x14ac:dyDescent="0.3">
      <c r="L175" s="73"/>
      <c r="M175" s="78"/>
    </row>
    <row r="176" spans="12:13" customFormat="1" x14ac:dyDescent="0.3">
      <c r="L176" s="73"/>
      <c r="M176" s="78"/>
    </row>
    <row r="177" spans="12:13" customFormat="1" x14ac:dyDescent="0.3">
      <c r="L177" s="73"/>
      <c r="M177" s="78"/>
    </row>
    <row r="178" spans="12:13" customFormat="1" x14ac:dyDescent="0.3">
      <c r="L178" s="73"/>
      <c r="M178" s="78"/>
    </row>
    <row r="179" spans="12:13" customFormat="1" x14ac:dyDescent="0.3">
      <c r="L179" s="73"/>
      <c r="M179" s="78"/>
    </row>
    <row r="180" spans="12:13" customFormat="1" x14ac:dyDescent="0.3">
      <c r="L180" s="73"/>
      <c r="M180" s="78"/>
    </row>
    <row r="181" spans="12:13" customFormat="1" x14ac:dyDescent="0.3">
      <c r="L181" s="73"/>
      <c r="M181" s="78"/>
    </row>
    <row r="182" spans="12:13" customFormat="1" x14ac:dyDescent="0.3">
      <c r="L182" s="73"/>
      <c r="M182" s="78"/>
    </row>
    <row r="183" spans="12:13" customFormat="1" x14ac:dyDescent="0.3">
      <c r="L183" s="73"/>
      <c r="M183" s="78"/>
    </row>
    <row r="184" spans="12:13" customFormat="1" x14ac:dyDescent="0.3">
      <c r="L184" s="73"/>
      <c r="M184" s="78"/>
    </row>
    <row r="185" spans="12:13" customFormat="1" x14ac:dyDescent="0.3">
      <c r="L185" s="73"/>
      <c r="M185" s="78"/>
    </row>
    <row r="186" spans="12:13" customFormat="1" x14ac:dyDescent="0.3">
      <c r="L186" s="73"/>
      <c r="M186" s="78"/>
    </row>
    <row r="187" spans="12:13" customFormat="1" x14ac:dyDescent="0.3">
      <c r="L187" s="73"/>
      <c r="M187" s="78"/>
    </row>
    <row r="188" spans="12:13" customFormat="1" x14ac:dyDescent="0.3">
      <c r="L188" s="73"/>
      <c r="M188" s="78"/>
    </row>
    <row r="189" spans="12:13" customFormat="1" x14ac:dyDescent="0.3">
      <c r="L189" s="73"/>
      <c r="M189" s="78"/>
    </row>
    <row r="190" spans="12:13" customFormat="1" x14ac:dyDescent="0.3">
      <c r="L190" s="73"/>
      <c r="M190" s="78"/>
    </row>
    <row r="191" spans="12:13" customFormat="1" x14ac:dyDescent="0.3">
      <c r="L191" s="73"/>
      <c r="M191" s="78"/>
    </row>
    <row r="192" spans="12:13" customFormat="1" x14ac:dyDescent="0.3">
      <c r="L192" s="73"/>
      <c r="M192" s="78"/>
    </row>
    <row r="193" spans="12:13" customFormat="1" x14ac:dyDescent="0.3">
      <c r="L193" s="73"/>
      <c r="M193" s="78"/>
    </row>
    <row r="194" spans="12:13" customFormat="1" x14ac:dyDescent="0.3">
      <c r="L194" s="73"/>
      <c r="M194" s="78"/>
    </row>
    <row r="195" spans="12:13" customFormat="1" x14ac:dyDescent="0.3">
      <c r="L195" s="73"/>
      <c r="M195" s="78"/>
    </row>
    <row r="196" spans="12:13" customFormat="1" x14ac:dyDescent="0.3">
      <c r="L196" s="73"/>
      <c r="M196" s="78"/>
    </row>
    <row r="197" spans="12:13" customFormat="1" x14ac:dyDescent="0.3">
      <c r="L197" s="73"/>
      <c r="M197" s="78"/>
    </row>
    <row r="198" spans="12:13" customFormat="1" x14ac:dyDescent="0.3">
      <c r="L198" s="73"/>
      <c r="M198" s="78"/>
    </row>
    <row r="199" spans="12:13" customFormat="1" x14ac:dyDescent="0.3">
      <c r="L199" s="73"/>
      <c r="M199" s="78"/>
    </row>
    <row r="200" spans="12:13" customFormat="1" x14ac:dyDescent="0.3">
      <c r="L200" s="73"/>
      <c r="M200" s="78"/>
    </row>
    <row r="201" spans="12:13" customFormat="1" x14ac:dyDescent="0.3">
      <c r="L201" s="73"/>
      <c r="M201" s="78"/>
    </row>
  </sheetData>
  <mergeCells count="41">
    <mergeCell ref="AL27:AM27"/>
    <mergeCell ref="AL28:AM28"/>
    <mergeCell ref="Z1:AH1"/>
    <mergeCell ref="AK1:AX1"/>
    <mergeCell ref="AU2:AU3"/>
    <mergeCell ref="AV2:AV3"/>
    <mergeCell ref="AW2:AW3"/>
    <mergeCell ref="AX2:AX3"/>
    <mergeCell ref="AO12:AQ12"/>
    <mergeCell ref="AT12:AU12"/>
    <mergeCell ref="AO13:AQ13"/>
    <mergeCell ref="AT13:AU13"/>
    <mergeCell ref="AD2:AE3"/>
    <mergeCell ref="AF2:AF3"/>
    <mergeCell ref="AS9:AT9"/>
    <mergeCell ref="AO8:AP8"/>
    <mergeCell ref="AQ8:AR8"/>
    <mergeCell ref="AS8:AT8"/>
    <mergeCell ref="AO11:AV11"/>
    <mergeCell ref="AB4:AC4"/>
    <mergeCell ref="Z2:Z3"/>
    <mergeCell ref="AA2:AA3"/>
    <mergeCell ref="AM4:AN4"/>
    <mergeCell ref="AO4:AP4"/>
    <mergeCell ref="AB2:AC3"/>
    <mergeCell ref="AO21:AS21"/>
    <mergeCell ref="AD4:AE4"/>
    <mergeCell ref="AG2:AG3"/>
    <mergeCell ref="AH2:AH3"/>
    <mergeCell ref="AI2:AI3"/>
    <mergeCell ref="AO2:AP3"/>
    <mergeCell ref="AQ2:AR3"/>
    <mergeCell ref="AS2:AT3"/>
    <mergeCell ref="AK2:AL3"/>
    <mergeCell ref="AK4:AL4"/>
    <mergeCell ref="AM2:AN3"/>
    <mergeCell ref="AO7:AT7"/>
    <mergeCell ref="AQ4:AR4"/>
    <mergeCell ref="AS4:AT4"/>
    <mergeCell ref="AO9:AP9"/>
    <mergeCell ref="AQ9:AR9"/>
  </mergeCells>
  <conditionalFormatting sqref="L2:L71">
    <cfRule type="cellIs" dxfId="82" priority="8" operator="greaterThanOrEqual">
      <formula>95%</formula>
    </cfRule>
    <cfRule type="cellIs" dxfId="81" priority="9" operator="greaterThanOrEqual">
      <formula>90%</formula>
    </cfRule>
    <cfRule type="cellIs" dxfId="80" priority="11" operator="greaterThanOrEqual">
      <formula>85%</formula>
    </cfRule>
  </conditionalFormatting>
  <conditionalFormatting sqref="E2:R71">
    <cfRule type="expression" dxfId="79" priority="5">
      <formula>$Q2:$Q26=0</formula>
    </cfRule>
    <cfRule type="expression" dxfId="78" priority="6">
      <formula>$Q2:$Q26=1</formula>
    </cfRule>
  </conditionalFormatting>
  <conditionalFormatting sqref="M2:M71">
    <cfRule type="cellIs" dxfId="77" priority="7" operator="greaterThanOrEqual">
      <formula>95%</formula>
    </cfRule>
    <cfRule type="cellIs" dxfId="76" priority="10" operator="greaterThanOrEqual">
      <formula>90%</formula>
    </cfRule>
    <cfRule type="cellIs" dxfId="75" priority="12" operator="greaterThanOrEqual">
      <formula>85%</formula>
    </cfRule>
  </conditionalFormatting>
  <conditionalFormatting sqref="U2">
    <cfRule type="iconSet" priority="4">
      <iconSet iconSet="3Arrows">
        <cfvo type="percent" val="0"/>
        <cfvo type="num" val="$V$2"/>
        <cfvo type="num" val="$V$2" gte="0"/>
      </iconSet>
    </cfRule>
  </conditionalFormatting>
  <conditionalFormatting sqref="V2">
    <cfRule type="iconSet" priority="3">
      <iconSet iconSet="3Arrows">
        <cfvo type="percent" val="0"/>
        <cfvo type="num" val="$U$2"/>
        <cfvo type="num" val="$U$2" gte="0"/>
      </iconSet>
    </cfRule>
  </conditionalFormatting>
  <conditionalFormatting sqref="D2:D71">
    <cfRule type="expression" dxfId="74" priority="1">
      <formula>$Q2:$Q26=0</formula>
    </cfRule>
    <cfRule type="expression" dxfId="73" priority="2">
      <formula>$Q2:$Q26=1</formula>
    </cfRule>
  </conditionalFormatting>
  <dataValidations count="1">
    <dataValidation type="list" allowBlank="1" showInputMessage="1" showErrorMessage="1" sqref="O2:O71 AO12:AQ12" xr:uid="{00000000-0002-0000-0200-000000000000}">
      <formula1>ВидСпортаЧемпионат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200-000001000000}">
          <x14:formula1>
            <xm:f>Мастерская!$E$1:$E$3</xm:f>
          </x14:formula1>
          <xm:sqref>P2:P71 P202:P1048576</xm:sqref>
        </x14:dataValidation>
        <x14:dataValidation type="list" allowBlank="1" showInputMessage="1" showErrorMessage="1" xr:uid="{00000000-0002-0000-0200-000002000000}">
          <x14:formula1>
            <xm:f>Мастерская!$A$1:$A$6</xm:f>
          </x14:formula1>
          <xm:sqref>E2:E71</xm:sqref>
        </x14:dataValidation>
        <x14:dataValidation type="list" allowBlank="1" showInputMessage="1" showErrorMessage="1" xr:uid="{00000000-0002-0000-0200-000003000000}">
          <x14:formula1>
            <xm:f>Мастерская!$C$1:$C$3</xm:f>
          </x14:formula1>
          <xm:sqref>N2:N71 N202:N1048576</xm:sqref>
        </x14:dataValidation>
        <x14:dataValidation type="list" allowBlank="1" showInputMessage="1" showErrorMessage="1" xr:uid="{00000000-0002-0000-0200-000005000000}">
          <x14:formula1>
            <xm:f>Мастерская!$I:$I</xm:f>
          </x14:formula1>
          <xm:sqref>O202:O1048576</xm:sqref>
        </x14:dataValidation>
        <x14:dataValidation type="list" allowBlank="1" showInputMessage="1" showErrorMessage="1" xr:uid="{00000000-0002-0000-0200-000006000000}">
          <x14:formula1>
            <xm:f>Мастерская!$A:$A</xm:f>
          </x14:formula1>
          <xm:sqref>E202:E1048576</xm:sqref>
        </x14:dataValidation>
        <x14:dataValidation type="list" allowBlank="1" showInputMessage="1" showErrorMessage="1" xr:uid="{592ED510-ACB6-4E3B-96E4-71F84512B49E}">
          <x14:formula1>
            <xm:f>Мастерская!$B$1:$B$23</xm:f>
          </x14:formula1>
          <xm:sqref>D2:D71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AX201"/>
  <sheetViews>
    <sheetView zoomScale="70" zoomScaleNormal="70" workbookViewId="0">
      <selection activeCell="A2" sqref="A2"/>
    </sheetView>
  </sheetViews>
  <sheetFormatPr defaultRowHeight="14.4" x14ac:dyDescent="0.3"/>
  <cols>
    <col min="1" max="1" width="12.109375" customWidth="1"/>
    <col min="2" max="2" width="12.6640625" customWidth="1"/>
    <col min="4" max="4" width="31.77734375" customWidth="1"/>
    <col min="5" max="5" width="18.6640625" style="20" customWidth="1"/>
    <col min="6" max="6" width="14.109375" style="17" customWidth="1"/>
    <col min="7" max="7" width="14.6640625" style="17" customWidth="1"/>
    <col min="8" max="8" width="14.88671875" style="17" customWidth="1"/>
    <col min="9" max="9" width="18" style="17" customWidth="1"/>
    <col min="10" max="10" width="20.33203125" style="17" customWidth="1"/>
    <col min="11" max="11" width="21.33203125" style="17" customWidth="1"/>
    <col min="12" max="12" width="23.109375" style="74" customWidth="1"/>
    <col min="13" max="13" width="20" style="79" customWidth="1"/>
    <col min="14" max="14" width="13" customWidth="1"/>
    <col min="15" max="15" width="29.33203125" style="13" customWidth="1"/>
    <col min="16" max="16" width="12.5546875" style="20" customWidth="1"/>
    <col min="17" max="17" width="19.109375" style="17" customWidth="1"/>
    <col min="18" max="18" width="18.88671875" style="32" customWidth="1"/>
    <col min="19" max="19" width="10.5546875" customWidth="1"/>
    <col min="20" max="20" width="9.109375" customWidth="1"/>
    <col min="21" max="21" width="9.44140625" customWidth="1"/>
    <col min="22" max="22" width="10.6640625" customWidth="1"/>
    <col min="23" max="23" width="9.6640625" customWidth="1"/>
    <col min="24" max="24" width="15.33203125" customWidth="1"/>
    <col min="34" max="34" width="13.5546875" customWidth="1"/>
    <col min="35" max="35" width="25.88671875" customWidth="1"/>
    <col min="38" max="38" width="13.33203125" customWidth="1"/>
    <col min="39" max="39" width="16.109375" customWidth="1"/>
    <col min="41" max="41" width="20.109375" customWidth="1"/>
    <col min="42" max="42" width="23.6640625" customWidth="1"/>
    <col min="43" max="43" width="28.88671875" customWidth="1"/>
    <col min="44" max="44" width="33.77734375" customWidth="1"/>
    <col min="45" max="45" width="30.5546875" customWidth="1"/>
    <col min="46" max="46" width="21.5546875" customWidth="1"/>
    <col min="47" max="47" width="14.88671875" customWidth="1"/>
    <col min="48" max="48" width="19.109375" customWidth="1"/>
    <col min="49" max="49" width="20" customWidth="1"/>
    <col min="50" max="50" width="14.33203125" customWidth="1"/>
  </cols>
  <sheetData>
    <row r="1" spans="1:50" ht="78" customHeight="1" thickTop="1" thickBot="1" x14ac:dyDescent="0.35">
      <c r="A1" s="46" t="s">
        <v>0</v>
      </c>
      <c r="B1" s="47" t="s">
        <v>1</v>
      </c>
      <c r="C1" s="2"/>
      <c r="D1" s="116" t="s">
        <v>179</v>
      </c>
      <c r="E1" s="6" t="s">
        <v>5</v>
      </c>
      <c r="F1" s="7" t="s">
        <v>2</v>
      </c>
      <c r="G1" s="8" t="s">
        <v>10</v>
      </c>
      <c r="H1" s="8" t="s">
        <v>6</v>
      </c>
      <c r="I1" s="7" t="s">
        <v>4</v>
      </c>
      <c r="J1" s="9" t="s">
        <v>9</v>
      </c>
      <c r="K1" s="8" t="s">
        <v>11</v>
      </c>
      <c r="L1" s="10" t="s">
        <v>7</v>
      </c>
      <c r="M1" s="10" t="s">
        <v>8</v>
      </c>
      <c r="N1" s="7" t="s">
        <v>3</v>
      </c>
      <c r="O1" s="11" t="s">
        <v>20</v>
      </c>
      <c r="P1" s="7" t="s">
        <v>19</v>
      </c>
      <c r="Q1" s="29" t="s">
        <v>12</v>
      </c>
      <c r="R1" s="12" t="s">
        <v>89</v>
      </c>
      <c r="T1" s="43" t="s">
        <v>14</v>
      </c>
      <c r="U1" s="44" t="s">
        <v>68</v>
      </c>
      <c r="V1" s="63" t="s">
        <v>69</v>
      </c>
      <c r="W1" s="44" t="s">
        <v>13</v>
      </c>
      <c r="X1" s="45" t="s">
        <v>70</v>
      </c>
      <c r="Z1" s="148" t="s">
        <v>65</v>
      </c>
      <c r="AA1" s="149"/>
      <c r="AB1" s="149"/>
      <c r="AC1" s="149"/>
      <c r="AD1" s="149"/>
      <c r="AE1" s="149"/>
      <c r="AF1" s="149"/>
      <c r="AG1" s="149"/>
      <c r="AH1" s="149"/>
      <c r="AI1" s="12">
        <f t="array" ref="AI1">INDEX(D2:D71,MATCH(MAX(COUNTIF(D2:D71,D2:D71)),COUNTIF(D2:D71,D2:D71),0))</f>
        <v>0</v>
      </c>
      <c r="AK1" s="148" t="s">
        <v>175</v>
      </c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50"/>
    </row>
    <row r="2" spans="1:50" ht="16.5" customHeight="1" thickTop="1" thickBot="1" x14ac:dyDescent="0.35">
      <c r="A2" s="48"/>
      <c r="B2" s="49"/>
      <c r="D2" s="118"/>
      <c r="E2" s="115" t="s">
        <v>16</v>
      </c>
      <c r="F2" s="21"/>
      <c r="G2" s="21"/>
      <c r="H2" s="22" t="e">
        <f>(F2*100)/G2</f>
        <v>#DIV/0!</v>
      </c>
      <c r="I2" s="67"/>
      <c r="J2" s="21">
        <f>F2*I2+IF(N2="Фрибет",(F2*I2-F2)-F2*I2)</f>
        <v>0</v>
      </c>
      <c r="K2" s="22" t="e">
        <f>((J2*100)/G2)</f>
        <v>#DIV/0!</v>
      </c>
      <c r="L2" s="68" t="e">
        <f>1-M2</f>
        <v>#DIV/0!</v>
      </c>
      <c r="M2" s="69" t="e">
        <f>1/I2</f>
        <v>#DIV/0!</v>
      </c>
      <c r="N2" s="5"/>
      <c r="O2" s="28"/>
      <c r="P2" s="18" t="s">
        <v>39</v>
      </c>
      <c r="Q2" s="30">
        <f>IF(P2="Победа",1)+IF(P2="Поражение",0)+IF(P2="Не ставил",-2)</f>
        <v>-2</v>
      </c>
      <c r="R2" s="37"/>
      <c r="T2" s="39">
        <f>COUNTIF(Q2:Q1048576,1)+COUNTIF(Q2:Q1048576, 0)</f>
        <v>0</v>
      </c>
      <c r="U2" s="61">
        <f>COUNTIF(Q2:Q1048576,1)</f>
        <v>0</v>
      </c>
      <c r="V2" s="62">
        <f>COUNTIF(Q2:Q1048576,0)</f>
        <v>0</v>
      </c>
      <c r="W2" s="40" t="e">
        <f>(SUMIF(Q2:Q1048576,"=1")+SUMIF(Q2:Q1048576,"=0")*100)/T2</f>
        <v>#DIV/0!</v>
      </c>
      <c r="X2" s="41" t="e">
        <f>1-W2</f>
        <v>#DIV/0!</v>
      </c>
      <c r="Z2" s="190" t="s">
        <v>5</v>
      </c>
      <c r="AA2" s="160" t="s">
        <v>2</v>
      </c>
      <c r="AB2" s="192" t="s">
        <v>10</v>
      </c>
      <c r="AC2" s="193"/>
      <c r="AD2" s="192" t="s">
        <v>6</v>
      </c>
      <c r="AE2" s="193"/>
      <c r="AF2" s="144" t="s">
        <v>4</v>
      </c>
      <c r="AG2" s="144" t="s">
        <v>64</v>
      </c>
      <c r="AH2" s="144" t="s">
        <v>63</v>
      </c>
      <c r="AI2" s="175" t="s">
        <v>66</v>
      </c>
      <c r="AK2" s="179" t="s">
        <v>84</v>
      </c>
      <c r="AL2" s="180"/>
      <c r="AM2" s="185" t="s">
        <v>85</v>
      </c>
      <c r="AN2" s="180"/>
      <c r="AO2" s="186" t="s">
        <v>86</v>
      </c>
      <c r="AP2" s="187"/>
      <c r="AQ2" s="185" t="s">
        <v>87</v>
      </c>
      <c r="AR2" s="180"/>
      <c r="AS2" s="156" t="s">
        <v>123</v>
      </c>
      <c r="AT2" s="157"/>
      <c r="AU2" s="160" t="s">
        <v>119</v>
      </c>
      <c r="AV2" s="144" t="s">
        <v>120</v>
      </c>
      <c r="AW2" s="144" t="s">
        <v>121</v>
      </c>
      <c r="AX2" s="146" t="s">
        <v>122</v>
      </c>
    </row>
    <row r="3" spans="1:50" x14ac:dyDescent="0.3">
      <c r="A3" s="50"/>
      <c r="B3" s="51"/>
      <c r="D3" s="119"/>
      <c r="E3" s="115" t="s">
        <v>16</v>
      </c>
      <c r="F3" s="23"/>
      <c r="G3" s="23"/>
      <c r="H3" s="24" t="e">
        <f t="shared" ref="H3:H25" si="0">(F3*100)/G3</f>
        <v>#DIV/0!</v>
      </c>
      <c r="I3" s="33"/>
      <c r="J3" s="21">
        <f t="shared" ref="J3:J66" si="1">F3*I3+IF(N3="Фрибет",(F3*I3-F3)-F3*I3)</f>
        <v>0</v>
      </c>
      <c r="K3" s="24" t="e">
        <f t="shared" ref="K3:K66" si="2">((J3*100)/G3)</f>
        <v>#DIV/0!</v>
      </c>
      <c r="L3" s="70" t="e">
        <f t="shared" ref="L3:L66" si="3">1-M3</f>
        <v>#DIV/0!</v>
      </c>
      <c r="M3" s="75" t="e">
        <f t="shared" ref="M3:M66" si="4">1/I3</f>
        <v>#DIV/0!</v>
      </c>
      <c r="N3" s="1"/>
      <c r="O3" s="28"/>
      <c r="P3" s="19" t="s">
        <v>39</v>
      </c>
      <c r="Q3" s="31">
        <f>IF(P3="Победа",1)+IF(P3="Поражение",0)+IF(P3="Не ставил",-2)</f>
        <v>-2</v>
      </c>
      <c r="R3" s="38"/>
      <c r="T3" s="3"/>
      <c r="Z3" s="191"/>
      <c r="AA3" s="161"/>
      <c r="AB3" s="194"/>
      <c r="AC3" s="195"/>
      <c r="AD3" s="194"/>
      <c r="AE3" s="195"/>
      <c r="AF3" s="145"/>
      <c r="AG3" s="145"/>
      <c r="AH3" s="145"/>
      <c r="AI3" s="176"/>
      <c r="AK3" s="181"/>
      <c r="AL3" s="159"/>
      <c r="AM3" s="158"/>
      <c r="AN3" s="159"/>
      <c r="AO3" s="188"/>
      <c r="AP3" s="189"/>
      <c r="AQ3" s="158"/>
      <c r="AR3" s="159"/>
      <c r="AS3" s="158"/>
      <c r="AT3" s="159"/>
      <c r="AU3" s="161"/>
      <c r="AV3" s="145"/>
      <c r="AW3" s="145"/>
      <c r="AX3" s="147"/>
    </row>
    <row r="4" spans="1:50" ht="15" thickBot="1" x14ac:dyDescent="0.35">
      <c r="A4" s="50"/>
      <c r="B4" s="51"/>
      <c r="D4" s="119"/>
      <c r="E4" s="115" t="s">
        <v>16</v>
      </c>
      <c r="F4" s="14"/>
      <c r="G4" s="14"/>
      <c r="H4" s="15" t="e">
        <f t="shared" si="0"/>
        <v>#DIV/0!</v>
      </c>
      <c r="I4" s="35"/>
      <c r="J4" s="21">
        <f t="shared" si="1"/>
        <v>0</v>
      </c>
      <c r="K4" s="15" t="e">
        <f t="shared" si="2"/>
        <v>#DIV/0!</v>
      </c>
      <c r="L4" s="71" t="e">
        <f t="shared" si="3"/>
        <v>#DIV/0!</v>
      </c>
      <c r="M4" s="76" t="e">
        <f t="shared" si="4"/>
        <v>#DIV/0!</v>
      </c>
      <c r="N4" s="16"/>
      <c r="O4" s="28"/>
      <c r="P4" s="19" t="s">
        <v>39</v>
      </c>
      <c r="Q4" s="30">
        <f t="shared" ref="Q4:Q67" si="5">IF(P4="Победа",1)+IF(P4="Поражение",0)+IF(P4="Не ставил",-2)</f>
        <v>-2</v>
      </c>
      <c r="R4" s="38"/>
      <c r="Z4" s="89" t="str">
        <f t="array" ref="Z4">INDEX(E2:E71,MATCH(MAX(COUNTIF(E2:E71,E2:E71)),COUNTIF(E2:E71,E2:E71),0))</f>
        <v>Моя</v>
      </c>
      <c r="AA4" s="57" t="e">
        <f>AVERAGE(F2:F1048576)</f>
        <v>#DIV/0!</v>
      </c>
      <c r="AB4" s="177" t="e">
        <f>AVERAGE(G2:G1048576)</f>
        <v>#DIV/0!</v>
      </c>
      <c r="AC4" s="178"/>
      <c r="AD4" s="183" t="e">
        <f>AVERAGEIF(H2:H1048576, "&gt;0")</f>
        <v>#DIV/0!</v>
      </c>
      <c r="AE4" s="184"/>
      <c r="AF4" s="111" t="e">
        <f>AVERAGE(I2:I1048576)</f>
        <v>#DIV/0!</v>
      </c>
      <c r="AG4" s="85" t="e">
        <f>AVERAGEIF(L2:L1048576,"&gt;0")</f>
        <v>#DIV/0!</v>
      </c>
      <c r="AH4" s="87">
        <f t="array" ref="AH4">INDEX(N2:N71,MATCH(MAX(COUNTIF(N2:N71,N2:N71)),COUNTIF(N2:N71,N2:N71),0))</f>
        <v>0</v>
      </c>
      <c r="AI4" s="88">
        <f t="array" ref="AI4">INDEX(O2:O71,MATCH(MAX(COUNTIF(O2:O71,O2:O71)),COUNTIF(O2:O71,O2:O71),0))</f>
        <v>0</v>
      </c>
      <c r="AK4" s="182">
        <f>MAX(F2:F1048576)</f>
        <v>0</v>
      </c>
      <c r="AL4" s="178"/>
      <c r="AM4" s="177">
        <f>MIN(F2:F1048576)</f>
        <v>0</v>
      </c>
      <c r="AN4" s="178"/>
      <c r="AO4" s="183">
        <f>MAX(I2:I1048576)</f>
        <v>0</v>
      </c>
      <c r="AP4" s="184"/>
      <c r="AQ4" s="183">
        <f>MIN(I2:I1048576)</f>
        <v>0</v>
      </c>
      <c r="AR4" s="184"/>
      <c r="AS4" s="177">
        <f>MAX(J2:J1048576)</f>
        <v>0</v>
      </c>
      <c r="AT4" s="178"/>
      <c r="AU4" s="58">
        <f t="array" ref="AU4">MAX(IF(P2:P71=Мастерская!E1,J2:J71))</f>
        <v>0</v>
      </c>
      <c r="AV4" s="58">
        <f t="array" ref="AV4">MIN(IF(P2:P71=Мастерская!E1,J2:J71))</f>
        <v>0</v>
      </c>
      <c r="AW4" s="58">
        <f t="array" ref="AW4">MAX(IF(P2:P71=Мастерская!E2,F2:F71))</f>
        <v>0</v>
      </c>
      <c r="AX4" s="66">
        <f t="array" ref="AX4">MIN(IF(P2:P71=Мастерская!E2,F2:F71))</f>
        <v>0</v>
      </c>
    </row>
    <row r="5" spans="1:50" x14ac:dyDescent="0.3">
      <c r="A5" s="50"/>
      <c r="B5" s="51"/>
      <c r="D5" s="119"/>
      <c r="E5" s="115" t="s">
        <v>16</v>
      </c>
      <c r="F5" s="23"/>
      <c r="G5" s="23"/>
      <c r="H5" s="24" t="e">
        <f t="shared" si="0"/>
        <v>#DIV/0!</v>
      </c>
      <c r="I5" s="33"/>
      <c r="J5" s="21">
        <f t="shared" si="1"/>
        <v>0</v>
      </c>
      <c r="K5" s="24" t="e">
        <f t="shared" si="2"/>
        <v>#DIV/0!</v>
      </c>
      <c r="L5" s="70" t="e">
        <f t="shared" si="3"/>
        <v>#DIV/0!</v>
      </c>
      <c r="M5" s="75" t="e">
        <f t="shared" si="4"/>
        <v>#DIV/0!</v>
      </c>
      <c r="N5" s="1"/>
      <c r="O5" s="28"/>
      <c r="P5" s="19" t="s">
        <v>39</v>
      </c>
      <c r="Q5" s="31">
        <f t="shared" si="5"/>
        <v>-2</v>
      </c>
      <c r="R5" s="38"/>
    </row>
    <row r="6" spans="1:50" ht="15" thickBot="1" x14ac:dyDescent="0.35">
      <c r="A6" s="50"/>
      <c r="B6" s="51"/>
      <c r="D6" s="119"/>
      <c r="E6" s="115" t="s">
        <v>16</v>
      </c>
      <c r="F6" s="23"/>
      <c r="G6" s="23"/>
      <c r="H6" s="24" t="e">
        <f t="shared" si="0"/>
        <v>#DIV/0!</v>
      </c>
      <c r="I6" s="33"/>
      <c r="J6" s="21">
        <f t="shared" si="1"/>
        <v>0</v>
      </c>
      <c r="K6" s="24" t="e">
        <f t="shared" si="2"/>
        <v>#DIV/0!</v>
      </c>
      <c r="L6" s="70" t="e">
        <f t="shared" si="3"/>
        <v>#DIV/0!</v>
      </c>
      <c r="M6" s="75" t="e">
        <f t="shared" si="4"/>
        <v>#DIV/0!</v>
      </c>
      <c r="N6" s="1"/>
      <c r="O6" s="28"/>
      <c r="P6" s="19" t="s">
        <v>39</v>
      </c>
      <c r="Q6" s="30">
        <f t="shared" si="5"/>
        <v>-2</v>
      </c>
      <c r="R6" s="38"/>
    </row>
    <row r="7" spans="1:50" ht="15.6" thickTop="1" thickBot="1" x14ac:dyDescent="0.35">
      <c r="A7" s="50"/>
      <c r="B7" s="51"/>
      <c r="D7" s="119"/>
      <c r="E7" s="115" t="s">
        <v>16</v>
      </c>
      <c r="F7" s="23"/>
      <c r="G7" s="23"/>
      <c r="H7" s="24" t="e">
        <f t="shared" si="0"/>
        <v>#DIV/0!</v>
      </c>
      <c r="I7" s="33"/>
      <c r="J7" s="21">
        <f t="shared" si="1"/>
        <v>0</v>
      </c>
      <c r="K7" s="24" t="e">
        <f t="shared" si="2"/>
        <v>#DIV/0!</v>
      </c>
      <c r="L7" s="70" t="e">
        <f t="shared" si="3"/>
        <v>#DIV/0!</v>
      </c>
      <c r="M7" s="75" t="e">
        <f t="shared" si="4"/>
        <v>#DIV/0!</v>
      </c>
      <c r="N7" s="1"/>
      <c r="O7" s="28"/>
      <c r="P7" s="19" t="s">
        <v>39</v>
      </c>
      <c r="Q7" s="31">
        <f t="shared" si="5"/>
        <v>-2</v>
      </c>
      <c r="R7" s="38"/>
      <c r="AO7" s="196" t="s">
        <v>90</v>
      </c>
      <c r="AP7" s="203"/>
      <c r="AQ7" s="203"/>
      <c r="AR7" s="203"/>
      <c r="AS7" s="203"/>
      <c r="AT7" s="197"/>
    </row>
    <row r="8" spans="1:50" ht="15" thickTop="1" x14ac:dyDescent="0.3">
      <c r="A8" s="50"/>
      <c r="B8" s="51"/>
      <c r="D8" s="119"/>
      <c r="E8" s="115" t="s">
        <v>16</v>
      </c>
      <c r="F8" s="23"/>
      <c r="G8" s="23"/>
      <c r="H8" s="24" t="e">
        <f t="shared" si="0"/>
        <v>#DIV/0!</v>
      </c>
      <c r="I8" s="33"/>
      <c r="J8" s="21">
        <f t="shared" si="1"/>
        <v>0</v>
      </c>
      <c r="K8" s="24" t="e">
        <f t="shared" si="2"/>
        <v>#DIV/0!</v>
      </c>
      <c r="L8" s="70" t="e">
        <f t="shared" si="3"/>
        <v>#DIV/0!</v>
      </c>
      <c r="M8" s="75" t="e">
        <f t="shared" si="4"/>
        <v>#DIV/0!</v>
      </c>
      <c r="N8" s="1"/>
      <c r="O8" s="28"/>
      <c r="P8" s="19" t="s">
        <v>39</v>
      </c>
      <c r="Q8" s="30">
        <f t="shared" si="5"/>
        <v>-2</v>
      </c>
      <c r="R8" s="38"/>
      <c r="AO8" s="166" t="s">
        <v>178</v>
      </c>
      <c r="AP8" s="167"/>
      <c r="AQ8" s="168" t="s">
        <v>17</v>
      </c>
      <c r="AR8" s="167"/>
      <c r="AS8" s="168" t="s">
        <v>40</v>
      </c>
      <c r="AT8" s="169"/>
    </row>
    <row r="9" spans="1:50" ht="15" thickBot="1" x14ac:dyDescent="0.35">
      <c r="A9" s="52"/>
      <c r="B9" s="51"/>
      <c r="D9" s="119"/>
      <c r="E9" s="115" t="s">
        <v>16</v>
      </c>
      <c r="F9" s="23"/>
      <c r="G9" s="23"/>
      <c r="H9" s="24" t="e">
        <f t="shared" si="0"/>
        <v>#DIV/0!</v>
      </c>
      <c r="I9" s="33"/>
      <c r="J9" s="21">
        <f t="shared" si="1"/>
        <v>0</v>
      </c>
      <c r="K9" s="24" t="e">
        <f t="shared" si="2"/>
        <v>#DIV/0!</v>
      </c>
      <c r="L9" s="70" t="e">
        <f t="shared" si="3"/>
        <v>#DIV/0!</v>
      </c>
      <c r="M9" s="75" t="e">
        <f t="shared" si="4"/>
        <v>#DIV/0!</v>
      </c>
      <c r="N9" s="1"/>
      <c r="O9" s="28"/>
      <c r="P9" s="19" t="s">
        <v>39</v>
      </c>
      <c r="Q9" s="31">
        <f t="shared" si="5"/>
        <v>-2</v>
      </c>
      <c r="R9" s="38"/>
      <c r="AO9" s="162">
        <f>COUNTIF(N2:N1048576, "Одинар")</f>
        <v>0</v>
      </c>
      <c r="AP9" s="163"/>
      <c r="AQ9" s="164">
        <f>COUNTIF(N2:N1048576, "Экспресс")</f>
        <v>0</v>
      </c>
      <c r="AR9" s="163"/>
      <c r="AS9" s="164">
        <f>COUNTIF(N2:N1048576, "Фрибет")</f>
        <v>0</v>
      </c>
      <c r="AT9" s="165"/>
    </row>
    <row r="10" spans="1:50" ht="15" thickBot="1" x14ac:dyDescent="0.35">
      <c r="A10" s="52"/>
      <c r="B10" s="51"/>
      <c r="D10" s="119"/>
      <c r="E10" s="115" t="s">
        <v>16</v>
      </c>
      <c r="F10" s="25"/>
      <c r="G10" s="25"/>
      <c r="H10" s="26" t="e">
        <f t="shared" si="0"/>
        <v>#DIV/0!</v>
      </c>
      <c r="I10" s="36"/>
      <c r="J10" s="21">
        <f t="shared" si="1"/>
        <v>0</v>
      </c>
      <c r="K10" s="26" t="e">
        <f t="shared" si="2"/>
        <v>#DIV/0!</v>
      </c>
      <c r="L10" s="72" t="e">
        <f t="shared" si="3"/>
        <v>#DIV/0!</v>
      </c>
      <c r="M10" s="77" t="e">
        <f t="shared" si="4"/>
        <v>#DIV/0!</v>
      </c>
      <c r="N10" s="4"/>
      <c r="O10" s="28"/>
      <c r="P10" s="19" t="s">
        <v>39</v>
      </c>
      <c r="Q10" s="30">
        <f t="shared" si="5"/>
        <v>-2</v>
      </c>
      <c r="R10" s="38"/>
    </row>
    <row r="11" spans="1:50" ht="15.6" thickTop="1" thickBot="1" x14ac:dyDescent="0.35">
      <c r="A11" s="50"/>
      <c r="B11" s="51"/>
      <c r="D11" s="119"/>
      <c r="E11" s="115" t="s">
        <v>16</v>
      </c>
      <c r="F11" s="23"/>
      <c r="G11" s="23"/>
      <c r="H11" s="24" t="e">
        <f t="shared" si="0"/>
        <v>#DIV/0!</v>
      </c>
      <c r="I11" s="33"/>
      <c r="J11" s="21">
        <f t="shared" si="1"/>
        <v>0</v>
      </c>
      <c r="K11" s="24" t="e">
        <f t="shared" si="2"/>
        <v>#DIV/0!</v>
      </c>
      <c r="L11" s="70" t="e">
        <f t="shared" si="3"/>
        <v>#DIV/0!</v>
      </c>
      <c r="M11" s="75" t="e">
        <f t="shared" si="4"/>
        <v>#DIV/0!</v>
      </c>
      <c r="N11" s="1"/>
      <c r="O11" s="28"/>
      <c r="P11" s="19" t="s">
        <v>39</v>
      </c>
      <c r="Q11" s="31">
        <f t="shared" si="5"/>
        <v>-2</v>
      </c>
      <c r="R11" s="38"/>
      <c r="AO11" s="200" t="s">
        <v>177</v>
      </c>
      <c r="AP11" s="201"/>
      <c r="AQ11" s="201"/>
      <c r="AR11" s="201"/>
      <c r="AS11" s="201"/>
      <c r="AT11" s="201"/>
      <c r="AU11" s="201"/>
      <c r="AV11" s="202"/>
    </row>
    <row r="12" spans="1:50" ht="15" thickTop="1" x14ac:dyDescent="0.3">
      <c r="A12" s="50"/>
      <c r="B12" s="51"/>
      <c r="D12" s="119"/>
      <c r="E12" s="115" t="s">
        <v>16</v>
      </c>
      <c r="F12" s="21"/>
      <c r="G12" s="21"/>
      <c r="H12" s="22" t="e">
        <f t="shared" si="0"/>
        <v>#DIV/0!</v>
      </c>
      <c r="I12" s="34"/>
      <c r="J12" s="21">
        <f t="shared" si="1"/>
        <v>0</v>
      </c>
      <c r="K12" s="22" t="e">
        <f t="shared" si="2"/>
        <v>#DIV/0!</v>
      </c>
      <c r="L12" s="68" t="e">
        <f t="shared" si="3"/>
        <v>#DIV/0!</v>
      </c>
      <c r="M12" s="69" t="e">
        <f t="shared" si="4"/>
        <v>#DIV/0!</v>
      </c>
      <c r="N12" s="5"/>
      <c r="O12" s="28"/>
      <c r="P12" s="19" t="s">
        <v>39</v>
      </c>
      <c r="Q12" s="30">
        <f t="shared" si="5"/>
        <v>-2</v>
      </c>
      <c r="R12" s="38"/>
      <c r="AO12" s="154" t="s">
        <v>33</v>
      </c>
      <c r="AP12" s="155"/>
      <c r="AQ12" s="155"/>
      <c r="AR12" s="96" t="s">
        <v>109</v>
      </c>
      <c r="AS12" s="96" t="s">
        <v>110</v>
      </c>
      <c r="AT12" s="155" t="s">
        <v>111</v>
      </c>
      <c r="AU12" s="155"/>
      <c r="AV12" s="91" t="s">
        <v>112</v>
      </c>
    </row>
    <row r="13" spans="1:50" ht="15" thickBot="1" x14ac:dyDescent="0.35">
      <c r="A13" s="50"/>
      <c r="B13" s="51"/>
      <c r="D13" s="119"/>
      <c r="E13" s="115" t="s">
        <v>16</v>
      </c>
      <c r="F13" s="23"/>
      <c r="G13" s="23"/>
      <c r="H13" s="24" t="e">
        <f t="shared" si="0"/>
        <v>#DIV/0!</v>
      </c>
      <c r="I13" s="33"/>
      <c r="J13" s="21">
        <f t="shared" si="1"/>
        <v>0</v>
      </c>
      <c r="K13" s="24" t="e">
        <f t="shared" si="2"/>
        <v>#DIV/0!</v>
      </c>
      <c r="L13" s="70" t="e">
        <f t="shared" si="3"/>
        <v>#DIV/0!</v>
      </c>
      <c r="M13" s="75" t="e">
        <f t="shared" si="4"/>
        <v>#DIV/0!</v>
      </c>
      <c r="N13" s="1"/>
      <c r="O13" s="28"/>
      <c r="P13" s="19" t="s">
        <v>39</v>
      </c>
      <c r="Q13" s="31">
        <f t="shared" si="5"/>
        <v>-2</v>
      </c>
      <c r="R13" s="38"/>
      <c r="AO13" s="173">
        <f>IF(AO12="Футбол - Лига Чемпионов УЕФА",Мастерская!J1, 0)+IF(AO12="Футбол - Лига Европы УЕФА",Мастерская!J2, 0)+IF(AO12="Футбол - Еврокубки. Другое",Мастерская!J3, 0)+IF(AO12="Футбол - Россия. РПЛ",Мастерская!J4, 0)+IF(AO12="Футбол - Кубок России",Мастерская!J5, 0)+IF(AO12="Футбол - Россия. ФНЛ",Мастерская!J6, 0)+IF(AO12="Футбол - Россия. ПФЛ",Мастерская!J7, 0)+IF(AO12="Футбол - Россия. Другое",Мастерская!J8, 0)+IF(AO12="Футбол - Англия. АПЛ",Мастерская!J9, 0)+IF(AO12="Футбол - Кубок Англии",Мастерская!J10, 0)+IF(AO12="Футбол - Англия. Кубок Лиги",Мастерская!J11, 0)+IF(AO12="Футбол - Англия. Чемпионшип",Мастерская!J12, 0)+IF(AO12="Футбол - Испания. Ла Лига",Мастерская!J13, 0)+IF(AO12="Футбол - Италия. Серия А",Мастерская!J14, 0)+IF(AO12="Футбол - Германия. Бундеслига",Мастерская!J15, 0)+IF(AO12="Футбол - Франция. Лига 1",Мастерская!J16, 0)+IF(AO12="Футбол - Португалия. Лига NOS",Мастерская!J17, 0)+IF(AO12="Футбол - Турция. Суперлига",Мастерская!J18, 0)+IF(AO12="Футбол - Нидерланды. Эредивизи",Мастерская!J19, 0)+IF(AO12="Футбол - Греция. Суперлига",Мастерская!J20, 0)+IF(AO12="Футбол - Украина. УПЛ",Мастерская!J21, 0)+IF(AO12="Футбол - Кубок Либертадорес",Мастерская!J22, 0)+IF(AO12="Футбол - США/Канада. MLS",Мастерская!J23, 0)+IF(AO12="Футбол - Бразилия. Сериа А",Мастерская!J24, 0)+IF(AO12="Футбол - Аргентина. Суперлига",Мастерская!J25, 0)+IF(AO12="Футбол - Китай. Суперлига",Мастерская!J26, 0)+IF(AO12="Футбол - Сборные. Чемпионат мира",Мастерская!J27, 0)+IF(AO12="Футбол - Сборные. Чемпионат Европы",Мастерская!J28, 0)+IF(AO12="Футбол - Сборные. Лига Наций",Мастерская!J29, 0)+IF(AO12="Футбол - Сборные. Кубок Америки",Мастерская!J30, 0)+IF(AO12="Футбол - Сборные. Кубок Азии",Мастерская!J31, 0)+IF(AO12="Футбол - Сборные. Кубок Африки",Мастерская!J32, 0)+IF(AO12="Футбол - Сборные. КОНКАКАФ",Мастерская!J33, 0)+IF(AO12="Футбол - Сборные.  Другое",Мастерская!J34, 0)+IF(AO12="Хоккей - КХЛ",Мастерская!J35, 0)+IF(AO12="Хоккей - НХЛ",Мастерская!J36, 0)+IF(AO12="Хоккей - Сборные. Чемпионат мира",Мастерская!J37, 0)+IF(AO12="Хоккей - Сборные. Евротур",Мастерская!J38, 0)+IF(AO12="Смешанные единоборства - UFC",Мастерская!J39, 0)+IF(AO12="Смешанные единоборства - Bellator",Мастерская!J40, 0)+IF(AO12="Смешанные единоборства - M-1",Мастерская!J41, 0)+IF(AO12="Смешанные единоборства - Fight Nights Global",Мастерская!J42, 0)+IF(AO12="Бокс - WBA",Мастерская!J43, 0)+IF(AO12="Бокс - WBC",Мастерская!J44, 0)+IF(AO12="Бокс - WBO",Мастерская!J45, 0)+IF(AO12="Бокс - IBF",Мастерская!J46, 0)+IF(AO12="Бокс - IBO",Мастерская!J47, 0)+IF(AO12="Теннис - Уимблдон. ATP",Мастерская!J48, 0)+IF(AO12="Теннис - Уимблдон. WTA",Мастерская!J49, 0)+IF(AO12="Теннис - Australian Open",Мастерская!J50, 0)+IF(AO12="Теннис - Франция. Ролан Гаррос",Мастерская!J51, 0)+IF(AO12="Теннис - US Open",Мастерская!J52, 0)+IF(AO12="Теннис - Кубок Федерации",Мастерская!J53, 0)+IF(AO12="Теннис - Кубок Дэвиса",Мастерская!J54, 0)+IF(AO12="Теннис - Кубок Кремля",Мастерская!J55, 0)+IF(AO12="Баскетбол - Сборные. Чемпионат мира",Мастерская!J56, 0)+IF(AO12="Баскетбол - Сборные. Чемпионат Европы",Мастерская!J57, 0)+IF(AO12="Баскетбол - Евролига",Мастерская!J58, 0)+IF(AO12="Баскетбол - Еврокубок",Мастерская!J59, 0)+IF(AO12="Баскетбол - Лига Чемпионов",Мастерская!J60, 0)+IF(AO12="Баскетбол - Россия. Единая Лига ВТБ",Мастерская!J61, 0)+IF(AO12="Баскетбол - США. NBA",Мастерская!J62, 0)+IF(AO12="Волейбол - Сборные. Чемпионат мира",Мастерская!J63, 0)+IF(AO12="Волейбол - Сборные. Кубок мира",Мастерская!J64, 0)+IF(AO12="Волейбол - Сборные. Всемирный Кубок Чемпионов",Мастерская!J65, 0)+IF(AO12="Волейбол - Сборные. Лига наций",Мастерская!J66, 0)+IF(AO12="Волейбол - Сборные. Чемпионат Европы",Мастерская!J67, 0)+IF(AO12="Волейбол - Евролига",Мастерская!J68, 0)+IF(AO12="Волейбол - Чемпионат России",Мастерская!J69, 0)+IF(AO12="Биатлон - Чемпионат мира",Мастерская!J70, 0)+IF(AO12="Биатлон - Чемпионат Европы",Мастерская!J71, 0)+IF(AO12="Биатлон - Кубок мира",Мастерская!J72, 0)+IF(AO12="Биатлон - Кубок IBU",Мастерская!J73, 0)+IF(AO12="Формула-1",Мастерская!J74, 0)+IF(AO12="Киберспорт - The International. Dota 2 Championships",Мастерская!J75, 0)+IF(AO12="Киберспорт - Другое",Мастерская!J76, 0)+IF(AO12="Мини-футбол - Сборные. Чемпионат мира",Мастерская!J77, 0)+IF(AO12="Мини-футбол - Сборные. Чемпионат Европы",Мастерская!J78, 0)+IF(AO12="Мини-футбол - Лига Чемпионов УЕФА",Мастерская!J79, 0)+IF(AO12="Мини-футбол - Россия. Суперлига",Мастерская!J80, 0)+IF(AO12="Мини-футбол - Бразилия. Лига футзала",Мастерская!J81, 0)+IF(AO12="Пляжный футбол - Сборные. Чемпионат мира",Мастерская!J82, 0)+IF(AO12="Пляжный футбол - Сборные. Межконтинентальный кубок",Мастерская!J83, 0)+IF(AO12="Пляжный футбол - Сборные. Кубок Европы",Мастерская!J84, 0)+IF(AO12="Пляжный футбол - Кубок европейских чемпионов",Мастерская!J85, 0)+IF(AO12="Пляжный футбол - Чемпионат России",Мастерская!J86, 0)+IF(AO12="Настольный теннис - Сборные. Чемпионат мира",Мастерская!J87, 0)+IF(AO12="Настольный теннис - Сборные. Чемпионат Европы",Мастерская!J88, 0)+IF(AO12="Хоккей с мячом - Сборные. Чемпионат мира",Мастерская!J89, 0)+IF(AO12="Хоккей с мячом - Россия. Суперлига",Мастерская!J90, 0)+IF(AO12="Гандбол",Мастерская!J91, 0)+IF(AO12="Снукер",Мастерская!J92, 0)+IF(AO12="Скачки",Мастерская!J93, 0)+IF(AO12="Американский футбол",Мастерская!J94, 0)+IF(AO12="Бейсбол",Мастерская!J95, 0)+IF(AO12="Водное поло",Мастерская!J96, 0)+IF(AO12="Лыжные гонки",Мастерская!J97, 0)+IF(AO12="Тяжёлая атлетика",Мастерская!J98, 0)+IF(AO12="Лёгкая атлетика",Мастерская!J99, 0)+IF(AO12="Регби",Мастерская!J100, 0)+IF(AO12="Пляжный волейбол",Мастерская!J101, 0)+IF(AO12="Кёрлинг",Мастерская!J102, 0)+IF(AO12="Гольф",Мастерская!J103, 0)+IF(AO12="Прыжки с трамплина",Мастерская!J104, 0)</f>
        <v>0</v>
      </c>
      <c r="AP13" s="174"/>
      <c r="AQ13" s="174"/>
      <c r="AR13" s="95">
        <f>SUM(Мастерская!J1:J34)</f>
        <v>0</v>
      </c>
      <c r="AS13" s="95">
        <f>SUM(Мастерская!J35:J38)</f>
        <v>0</v>
      </c>
      <c r="AT13" s="174">
        <f>SUM(Мастерская!J39:J42)</f>
        <v>0</v>
      </c>
      <c r="AU13" s="174"/>
      <c r="AV13" s="97">
        <f>SUM(Мастерская!J43:J47)</f>
        <v>0</v>
      </c>
    </row>
    <row r="14" spans="1:50" ht="15" thickTop="1" x14ac:dyDescent="0.3">
      <c r="A14" s="50"/>
      <c r="B14" s="51"/>
      <c r="D14" s="119"/>
      <c r="E14" s="115" t="s">
        <v>16</v>
      </c>
      <c r="F14" s="23"/>
      <c r="G14" s="23"/>
      <c r="H14" s="24" t="e">
        <f t="shared" si="0"/>
        <v>#DIV/0!</v>
      </c>
      <c r="I14" s="33"/>
      <c r="J14" s="21">
        <f t="shared" si="1"/>
        <v>0</v>
      </c>
      <c r="K14" s="24" t="e">
        <f t="shared" si="2"/>
        <v>#DIV/0!</v>
      </c>
      <c r="L14" s="70" t="e">
        <f t="shared" si="3"/>
        <v>#DIV/0!</v>
      </c>
      <c r="M14" s="75" t="e">
        <f t="shared" si="4"/>
        <v>#DIV/0!</v>
      </c>
      <c r="N14" s="1"/>
      <c r="O14" s="28"/>
      <c r="P14" s="19" t="s">
        <v>39</v>
      </c>
      <c r="Q14" s="30">
        <f t="shared" si="5"/>
        <v>-2</v>
      </c>
      <c r="R14" s="38"/>
      <c r="AO14" s="92" t="s">
        <v>113</v>
      </c>
      <c r="AP14" s="94" t="s">
        <v>114</v>
      </c>
      <c r="AQ14" s="94" t="s">
        <v>115</v>
      </c>
      <c r="AR14" s="94" t="s">
        <v>116</v>
      </c>
      <c r="AS14" s="94" t="s">
        <v>61</v>
      </c>
      <c r="AT14" s="94" t="s">
        <v>117</v>
      </c>
      <c r="AU14" s="94" t="s">
        <v>151</v>
      </c>
      <c r="AV14" s="98" t="s">
        <v>152</v>
      </c>
    </row>
    <row r="15" spans="1:50" ht="15" thickBot="1" x14ac:dyDescent="0.35">
      <c r="A15" s="50"/>
      <c r="B15" s="51"/>
      <c r="D15" s="119"/>
      <c r="E15" s="115" t="s">
        <v>16</v>
      </c>
      <c r="F15" s="23"/>
      <c r="G15" s="23"/>
      <c r="H15" s="24" t="e">
        <f t="shared" si="0"/>
        <v>#DIV/0!</v>
      </c>
      <c r="I15" s="33"/>
      <c r="J15" s="21">
        <f t="shared" si="1"/>
        <v>0</v>
      </c>
      <c r="K15" s="24" t="e">
        <f t="shared" si="2"/>
        <v>#DIV/0!</v>
      </c>
      <c r="L15" s="70" t="e">
        <f t="shared" si="3"/>
        <v>#DIV/0!</v>
      </c>
      <c r="M15" s="75" t="e">
        <f t="shared" si="4"/>
        <v>#DIV/0!</v>
      </c>
      <c r="N15" s="1"/>
      <c r="O15" s="28"/>
      <c r="P15" s="19" t="s">
        <v>39</v>
      </c>
      <c r="Q15" s="31">
        <f t="shared" si="5"/>
        <v>-2</v>
      </c>
      <c r="R15" s="38"/>
      <c r="AO15" s="93">
        <f>SUM(Мастерская!J48:J55)</f>
        <v>0</v>
      </c>
      <c r="AP15" s="95">
        <f>SUM(Мастерская!J56:J62)</f>
        <v>0</v>
      </c>
      <c r="AQ15" s="95">
        <f>SUM(Мастерская!J63:J69)</f>
        <v>0</v>
      </c>
      <c r="AR15" s="95">
        <f>SUM(Мастерская!J70:J73)</f>
        <v>0</v>
      </c>
      <c r="AS15" s="95">
        <f>Мастерская!J74</f>
        <v>0</v>
      </c>
      <c r="AT15" s="95">
        <f>SUM(Мастерская!J75:J76)</f>
        <v>0</v>
      </c>
      <c r="AU15" s="95">
        <f>SUM(Мастерская!J77:J81)</f>
        <v>0</v>
      </c>
      <c r="AV15" s="97">
        <f>SUM(Мастерская!J82:J86)</f>
        <v>0</v>
      </c>
    </row>
    <row r="16" spans="1:50" ht="15" thickTop="1" x14ac:dyDescent="0.3">
      <c r="A16" s="50"/>
      <c r="B16" s="51"/>
      <c r="D16" s="119"/>
      <c r="E16" s="115" t="s">
        <v>16</v>
      </c>
      <c r="F16" s="23"/>
      <c r="G16" s="23"/>
      <c r="H16" s="24" t="e">
        <f t="shared" si="0"/>
        <v>#DIV/0!</v>
      </c>
      <c r="I16" s="33"/>
      <c r="J16" s="21">
        <f t="shared" si="1"/>
        <v>0</v>
      </c>
      <c r="K16" s="24" t="e">
        <f t="shared" si="2"/>
        <v>#DIV/0!</v>
      </c>
      <c r="L16" s="70" t="e">
        <f t="shared" si="3"/>
        <v>#DIV/0!</v>
      </c>
      <c r="M16" s="75" t="e">
        <f t="shared" si="4"/>
        <v>#DIV/0!</v>
      </c>
      <c r="N16" s="1"/>
      <c r="O16" s="28"/>
      <c r="P16" s="19" t="s">
        <v>39</v>
      </c>
      <c r="Q16" s="30">
        <f t="shared" si="5"/>
        <v>-2</v>
      </c>
      <c r="R16" s="38"/>
      <c r="AO16" s="99" t="s">
        <v>145</v>
      </c>
      <c r="AP16" s="100" t="s">
        <v>154</v>
      </c>
      <c r="AQ16" s="100" t="s">
        <v>144</v>
      </c>
      <c r="AR16" s="100" t="s">
        <v>155</v>
      </c>
      <c r="AS16" s="100" t="s">
        <v>146</v>
      </c>
      <c r="AT16" s="100" t="s">
        <v>153</v>
      </c>
      <c r="AU16" s="100" t="s">
        <v>143</v>
      </c>
      <c r="AV16" s="101" t="s">
        <v>157</v>
      </c>
    </row>
    <row r="17" spans="1:48" ht="15" thickBot="1" x14ac:dyDescent="0.35">
      <c r="A17" s="50"/>
      <c r="B17" s="51"/>
      <c r="D17" s="119"/>
      <c r="E17" s="115" t="s">
        <v>16</v>
      </c>
      <c r="F17" s="23"/>
      <c r="G17" s="23"/>
      <c r="H17" s="24" t="e">
        <f t="shared" si="0"/>
        <v>#DIV/0!</v>
      </c>
      <c r="I17" s="33"/>
      <c r="J17" s="21">
        <f t="shared" si="1"/>
        <v>0</v>
      </c>
      <c r="K17" s="24" t="e">
        <f t="shared" si="2"/>
        <v>#DIV/0!</v>
      </c>
      <c r="L17" s="70" t="e">
        <f t="shared" si="3"/>
        <v>#DIV/0!</v>
      </c>
      <c r="M17" s="75" t="e">
        <f t="shared" si="4"/>
        <v>#DIV/0!</v>
      </c>
      <c r="N17" s="1"/>
      <c r="O17" s="28"/>
      <c r="P17" s="19" t="s">
        <v>39</v>
      </c>
      <c r="Q17" s="31">
        <f t="shared" si="5"/>
        <v>-2</v>
      </c>
      <c r="R17" s="38"/>
      <c r="AO17" s="102">
        <f>SUM(Мастерская!J87:J88)</f>
        <v>0</v>
      </c>
      <c r="AP17" s="103">
        <f>SUM(Мастерская!J89:J90)</f>
        <v>0</v>
      </c>
      <c r="AQ17" s="103">
        <f>Мастерская!J91</f>
        <v>0</v>
      </c>
      <c r="AR17" s="103">
        <f>Мастерская!J92</f>
        <v>0</v>
      </c>
      <c r="AS17" s="103">
        <f>Мастерская!J93</f>
        <v>0</v>
      </c>
      <c r="AT17" s="103">
        <f>Мастерская!J94</f>
        <v>0</v>
      </c>
      <c r="AU17" s="103">
        <f>Мастерская!J95</f>
        <v>0</v>
      </c>
      <c r="AV17" s="104">
        <f>Мастерская!J96</f>
        <v>0</v>
      </c>
    </row>
    <row r="18" spans="1:48" ht="15" thickTop="1" x14ac:dyDescent="0.3">
      <c r="A18" s="50"/>
      <c r="B18" s="51"/>
      <c r="D18" s="119"/>
      <c r="E18" s="115" t="s">
        <v>16</v>
      </c>
      <c r="F18" s="23"/>
      <c r="G18" s="23"/>
      <c r="H18" s="24" t="e">
        <f t="shared" si="0"/>
        <v>#DIV/0!</v>
      </c>
      <c r="I18" s="33"/>
      <c r="J18" s="21">
        <f t="shared" si="1"/>
        <v>0</v>
      </c>
      <c r="K18" s="24" t="e">
        <f t="shared" si="2"/>
        <v>#DIV/0!</v>
      </c>
      <c r="L18" s="70" t="e">
        <f t="shared" si="3"/>
        <v>#DIV/0!</v>
      </c>
      <c r="M18" s="75" t="e">
        <f t="shared" si="4"/>
        <v>#DIV/0!</v>
      </c>
      <c r="N18" s="1"/>
      <c r="O18" s="28"/>
      <c r="P18" s="19" t="s">
        <v>39</v>
      </c>
      <c r="Q18" s="30">
        <f t="shared" si="5"/>
        <v>-2</v>
      </c>
      <c r="R18" s="38"/>
      <c r="AO18" s="99" t="s">
        <v>156</v>
      </c>
      <c r="AP18" s="100" t="s">
        <v>159</v>
      </c>
      <c r="AQ18" s="100" t="s">
        <v>158</v>
      </c>
      <c r="AR18" s="100" t="s">
        <v>161</v>
      </c>
      <c r="AS18" s="100" t="s">
        <v>162</v>
      </c>
      <c r="AT18" s="100" t="s">
        <v>160</v>
      </c>
      <c r="AU18" s="100" t="s">
        <v>163</v>
      </c>
      <c r="AV18" s="101" t="s">
        <v>164</v>
      </c>
    </row>
    <row r="19" spans="1:48" ht="15" thickBot="1" x14ac:dyDescent="0.35">
      <c r="A19" s="50"/>
      <c r="B19" s="51"/>
      <c r="D19" s="119"/>
      <c r="E19" s="115" t="s">
        <v>16</v>
      </c>
      <c r="F19" s="23"/>
      <c r="G19" s="23"/>
      <c r="H19" s="24" t="e">
        <f t="shared" si="0"/>
        <v>#DIV/0!</v>
      </c>
      <c r="I19" s="33"/>
      <c r="J19" s="21">
        <f t="shared" si="1"/>
        <v>0</v>
      </c>
      <c r="K19" s="24" t="e">
        <f t="shared" si="2"/>
        <v>#DIV/0!</v>
      </c>
      <c r="L19" s="70" t="e">
        <f t="shared" si="3"/>
        <v>#DIV/0!</v>
      </c>
      <c r="M19" s="75" t="e">
        <f t="shared" si="4"/>
        <v>#DIV/0!</v>
      </c>
      <c r="N19" s="1"/>
      <c r="O19" s="28"/>
      <c r="P19" s="19" t="s">
        <v>39</v>
      </c>
      <c r="Q19" s="31">
        <f t="shared" si="5"/>
        <v>-2</v>
      </c>
      <c r="R19" s="38"/>
      <c r="AO19" s="105">
        <f>Мастерская!J97</f>
        <v>0</v>
      </c>
      <c r="AP19" s="106">
        <f>Мастерская!J98</f>
        <v>0</v>
      </c>
      <c r="AQ19" s="106">
        <f>Мастерская!J99</f>
        <v>0</v>
      </c>
      <c r="AR19" s="106">
        <f>Мастерская!J100</f>
        <v>0</v>
      </c>
      <c r="AS19" s="106">
        <f>Мастерская!J101</f>
        <v>0</v>
      </c>
      <c r="AT19" s="106">
        <f>Мастерская!J102</f>
        <v>0</v>
      </c>
      <c r="AU19" s="106">
        <f>Мастерская!J103</f>
        <v>0</v>
      </c>
      <c r="AV19" s="107">
        <f>Мастерская!J104</f>
        <v>0</v>
      </c>
    </row>
    <row r="20" spans="1:48" ht="15" thickBot="1" x14ac:dyDescent="0.35">
      <c r="A20" s="50"/>
      <c r="B20" s="51"/>
      <c r="D20" s="119"/>
      <c r="E20" s="115" t="s">
        <v>16</v>
      </c>
      <c r="F20" s="23"/>
      <c r="G20" s="23"/>
      <c r="H20" s="24" t="e">
        <f t="shared" si="0"/>
        <v>#DIV/0!</v>
      </c>
      <c r="I20" s="33"/>
      <c r="J20" s="21">
        <f t="shared" si="1"/>
        <v>0</v>
      </c>
      <c r="K20" s="24" t="e">
        <f t="shared" si="2"/>
        <v>#DIV/0!</v>
      </c>
      <c r="L20" s="70" t="e">
        <f t="shared" si="3"/>
        <v>#DIV/0!</v>
      </c>
      <c r="M20" s="75" t="e">
        <f t="shared" si="4"/>
        <v>#DIV/0!</v>
      </c>
      <c r="N20" s="1"/>
      <c r="O20" s="28"/>
      <c r="P20" s="19" t="s">
        <v>39</v>
      </c>
      <c r="Q20" s="30">
        <f t="shared" si="5"/>
        <v>-2</v>
      </c>
      <c r="R20" s="38"/>
    </row>
    <row r="21" spans="1:48" ht="15.6" thickTop="1" thickBot="1" x14ac:dyDescent="0.35">
      <c r="A21" s="50"/>
      <c r="B21" s="51"/>
      <c r="D21" s="119"/>
      <c r="E21" s="115" t="s">
        <v>16</v>
      </c>
      <c r="F21" s="23"/>
      <c r="G21" s="23"/>
      <c r="H21" s="24" t="e">
        <f t="shared" si="0"/>
        <v>#DIV/0!</v>
      </c>
      <c r="I21" s="33"/>
      <c r="J21" s="21">
        <f t="shared" si="1"/>
        <v>0</v>
      </c>
      <c r="K21" s="24" t="e">
        <f t="shared" si="2"/>
        <v>#DIV/0!</v>
      </c>
      <c r="L21" s="70" t="e">
        <f t="shared" si="3"/>
        <v>#DIV/0!</v>
      </c>
      <c r="M21" s="75" t="e">
        <f t="shared" si="4"/>
        <v>#DIV/0!</v>
      </c>
      <c r="N21" s="1"/>
      <c r="O21" s="28"/>
      <c r="P21" s="19" t="s">
        <v>39</v>
      </c>
      <c r="Q21" s="31">
        <f t="shared" si="5"/>
        <v>-2</v>
      </c>
      <c r="R21" s="38"/>
      <c r="AO21" s="170" t="s">
        <v>202</v>
      </c>
      <c r="AP21" s="171"/>
      <c r="AQ21" s="171"/>
      <c r="AR21" s="171"/>
      <c r="AS21" s="172"/>
    </row>
    <row r="22" spans="1:48" ht="16.5" customHeight="1" thickTop="1" x14ac:dyDescent="0.3">
      <c r="A22" s="50"/>
      <c r="B22" s="51"/>
      <c r="D22" s="119"/>
      <c r="E22" s="115" t="s">
        <v>16</v>
      </c>
      <c r="F22" s="23"/>
      <c r="G22" s="23"/>
      <c r="H22" s="24" t="e">
        <f t="shared" si="0"/>
        <v>#DIV/0!</v>
      </c>
      <c r="I22" s="33"/>
      <c r="J22" s="21">
        <f t="shared" si="1"/>
        <v>0</v>
      </c>
      <c r="K22" s="24" t="e">
        <f t="shared" si="2"/>
        <v>#DIV/0!</v>
      </c>
      <c r="L22" s="70" t="e">
        <f t="shared" si="3"/>
        <v>#DIV/0!</v>
      </c>
      <c r="M22" s="75" t="e">
        <f t="shared" si="4"/>
        <v>#DIV/0!</v>
      </c>
      <c r="N22" s="1"/>
      <c r="O22" s="28"/>
      <c r="P22" s="19" t="s">
        <v>39</v>
      </c>
      <c r="Q22" s="30">
        <f t="shared" si="5"/>
        <v>-2</v>
      </c>
      <c r="R22" s="38"/>
      <c r="T22" s="42"/>
      <c r="U22" s="42"/>
      <c r="V22" s="42"/>
      <c r="W22" s="42"/>
      <c r="X22" s="42"/>
      <c r="Y22" s="42"/>
      <c r="Z22" s="42"/>
      <c r="AA22" s="42"/>
      <c r="AB22" s="42"/>
      <c r="AO22" s="113" t="s">
        <v>180</v>
      </c>
      <c r="AP22" s="96" t="s">
        <v>181</v>
      </c>
      <c r="AQ22" s="96" t="s">
        <v>182</v>
      </c>
      <c r="AR22" s="112" t="s">
        <v>183</v>
      </c>
      <c r="AS22" s="91" t="s">
        <v>184</v>
      </c>
    </row>
    <row r="23" spans="1:48" ht="15.75" customHeight="1" thickBot="1" x14ac:dyDescent="0.35">
      <c r="A23" s="50"/>
      <c r="B23" s="51"/>
      <c r="D23" s="119"/>
      <c r="E23" s="115" t="s">
        <v>16</v>
      </c>
      <c r="F23" s="23"/>
      <c r="G23" s="23"/>
      <c r="H23" s="24" t="e">
        <f t="shared" si="0"/>
        <v>#DIV/0!</v>
      </c>
      <c r="I23" s="33"/>
      <c r="J23" s="21">
        <f t="shared" si="1"/>
        <v>0</v>
      </c>
      <c r="K23" s="24" t="e">
        <f t="shared" si="2"/>
        <v>#DIV/0!</v>
      </c>
      <c r="L23" s="70" t="e">
        <f t="shared" si="3"/>
        <v>#DIV/0!</v>
      </c>
      <c r="M23" s="75" t="e">
        <f t="shared" si="4"/>
        <v>#DIV/0!</v>
      </c>
      <c r="N23" s="1"/>
      <c r="O23" s="28"/>
      <c r="P23" s="19" t="s">
        <v>39</v>
      </c>
      <c r="Q23" s="31">
        <f t="shared" si="5"/>
        <v>-2</v>
      </c>
      <c r="R23" s="38"/>
      <c r="T23" s="42"/>
      <c r="U23" s="42"/>
      <c r="V23" s="42"/>
      <c r="W23" s="42"/>
      <c r="X23" s="42"/>
      <c r="Y23" s="42"/>
      <c r="Z23" s="42"/>
      <c r="AA23" s="42"/>
      <c r="AO23" s="93">
        <f>COUNTIF(D2:D1048576, "Победитель")</f>
        <v>0</v>
      </c>
      <c r="AP23" s="95">
        <f>COUNTIF(D2:D1048576, "Ничья")</f>
        <v>0</v>
      </c>
      <c r="AQ23" s="95">
        <f>COUNTIF(D2:D1048576, "Двойной шанс")</f>
        <v>0</v>
      </c>
      <c r="AR23" s="95">
        <f>COUNTIF(D2:D1048576, "Победитель (при ничьей - возврат)")</f>
        <v>0</v>
      </c>
      <c r="AS23" s="97">
        <f>COUNTIF(D2:D1048576, "Фора")</f>
        <v>0</v>
      </c>
    </row>
    <row r="24" spans="1:48" ht="15" customHeight="1" thickTop="1" thickBot="1" x14ac:dyDescent="0.35">
      <c r="A24" s="50"/>
      <c r="B24" s="51"/>
      <c r="D24" s="119"/>
      <c r="E24" s="115" t="s">
        <v>16</v>
      </c>
      <c r="F24" s="23"/>
      <c r="G24" s="23"/>
      <c r="H24" s="24" t="e">
        <f t="shared" si="0"/>
        <v>#DIV/0!</v>
      </c>
      <c r="I24" s="33"/>
      <c r="J24" s="21">
        <f t="shared" si="1"/>
        <v>0</v>
      </c>
      <c r="K24" s="24" t="e">
        <f t="shared" si="2"/>
        <v>#DIV/0!</v>
      </c>
      <c r="L24" s="70" t="e">
        <f t="shared" si="3"/>
        <v>#DIV/0!</v>
      </c>
      <c r="M24" s="75" t="e">
        <f t="shared" si="4"/>
        <v>#DIV/0!</v>
      </c>
      <c r="N24" s="1"/>
      <c r="O24" s="28"/>
      <c r="P24" s="19" t="s">
        <v>39</v>
      </c>
      <c r="Q24" s="30">
        <f t="shared" si="5"/>
        <v>-2</v>
      </c>
      <c r="R24" s="38"/>
      <c r="T24" s="42"/>
      <c r="U24" s="42"/>
      <c r="V24" s="42"/>
      <c r="W24" s="42"/>
      <c r="X24" s="42"/>
      <c r="Y24" s="42"/>
      <c r="Z24" s="42"/>
      <c r="AA24" s="42"/>
      <c r="AB24" s="42"/>
      <c r="AO24" s="92" t="s">
        <v>185</v>
      </c>
      <c r="AP24" s="94" t="s">
        <v>186</v>
      </c>
      <c r="AQ24" s="120" t="s">
        <v>187</v>
      </c>
      <c r="AR24" s="94" t="s">
        <v>189</v>
      </c>
      <c r="AS24" s="98" t="s">
        <v>190</v>
      </c>
    </row>
    <row r="25" spans="1:48" ht="15" customHeight="1" thickTop="1" thickBot="1" x14ac:dyDescent="0.35">
      <c r="A25" s="53"/>
      <c r="B25" s="54"/>
      <c r="D25" s="119"/>
      <c r="E25" s="115" t="s">
        <v>16</v>
      </c>
      <c r="F25" s="23"/>
      <c r="G25" s="23"/>
      <c r="H25" s="24" t="e">
        <f t="shared" si="0"/>
        <v>#DIV/0!</v>
      </c>
      <c r="I25" s="33"/>
      <c r="J25" s="21">
        <f t="shared" si="1"/>
        <v>0</v>
      </c>
      <c r="K25" s="24" t="e">
        <f t="shared" si="2"/>
        <v>#DIV/0!</v>
      </c>
      <c r="L25" s="70" t="e">
        <f t="shared" si="3"/>
        <v>#DIV/0!</v>
      </c>
      <c r="M25" s="75" t="e">
        <f t="shared" si="4"/>
        <v>#DIV/0!</v>
      </c>
      <c r="N25" s="1"/>
      <c r="O25" s="28"/>
      <c r="P25" s="19" t="s">
        <v>39</v>
      </c>
      <c r="Q25" s="31">
        <f t="shared" si="5"/>
        <v>-2</v>
      </c>
      <c r="R25" s="38"/>
      <c r="U25" s="59"/>
      <c r="W25" s="60"/>
      <c r="AL25" s="80" t="s">
        <v>242</v>
      </c>
      <c r="AM25" s="12" t="s">
        <v>243</v>
      </c>
      <c r="AO25" s="93">
        <f>COUNTIF(D2:D1048576, "Тотал")</f>
        <v>0</v>
      </c>
      <c r="AP25" s="95">
        <f>COUNTIF(D2:D1048576, "Точный счёт")</f>
        <v>0</v>
      </c>
      <c r="AQ25" s="95">
        <f>COUNTIF(D2:D1048576,"Точный счёт + исход ""Другой""")</f>
        <v>0</v>
      </c>
      <c r="AR25" s="95">
        <f>COUNTIF(D2:D1048576, "Кол-во голов")</f>
        <v>0</v>
      </c>
      <c r="AS25" s="97">
        <f>COUNTIF(D2:D1048576, "Инд. Тотал")</f>
        <v>0</v>
      </c>
    </row>
    <row r="26" spans="1:48" ht="15.75" customHeight="1" thickTop="1" thickBot="1" x14ac:dyDescent="0.35">
      <c r="A26" s="50"/>
      <c r="B26" s="51"/>
      <c r="D26" s="119"/>
      <c r="E26" s="115" t="s">
        <v>16</v>
      </c>
      <c r="F26" s="25"/>
      <c r="G26" s="25"/>
      <c r="H26" s="26" t="e">
        <f>(F26*100)/G26</f>
        <v>#DIV/0!</v>
      </c>
      <c r="I26" s="36"/>
      <c r="J26" s="21">
        <f t="shared" si="1"/>
        <v>0</v>
      </c>
      <c r="K26" s="26" t="e">
        <f t="shared" si="2"/>
        <v>#DIV/0!</v>
      </c>
      <c r="L26" s="72" t="e">
        <f t="shared" si="3"/>
        <v>#DIV/0!</v>
      </c>
      <c r="M26" s="77" t="e">
        <f t="shared" si="4"/>
        <v>#DIV/0!</v>
      </c>
      <c r="N26" s="4"/>
      <c r="O26" s="28"/>
      <c r="P26" s="19" t="s">
        <v>39</v>
      </c>
      <c r="Q26" s="30">
        <f t="shared" si="5"/>
        <v>-2</v>
      </c>
      <c r="R26" s="38"/>
      <c r="AL26" s="139">
        <f>SUM(A2:A71)</f>
        <v>0</v>
      </c>
      <c r="AM26" s="140">
        <f>SUM(B2:B71)</f>
        <v>0</v>
      </c>
      <c r="AO26" s="92" t="s">
        <v>191</v>
      </c>
      <c r="AP26" s="94" t="s">
        <v>192</v>
      </c>
      <c r="AQ26" s="94" t="s">
        <v>193</v>
      </c>
      <c r="AR26" s="94" t="s">
        <v>194</v>
      </c>
      <c r="AS26" s="98" t="s">
        <v>195</v>
      </c>
    </row>
    <row r="27" spans="1:48" ht="15.75" customHeight="1" thickTop="1" thickBot="1" x14ac:dyDescent="0.35">
      <c r="A27" s="50"/>
      <c r="B27" s="51"/>
      <c r="D27" s="119"/>
      <c r="E27" s="115" t="s">
        <v>16</v>
      </c>
      <c r="F27" s="23"/>
      <c r="G27" s="23"/>
      <c r="H27" s="24" t="e">
        <f t="shared" ref="H27:H71" si="6">(F27*100)/G27</f>
        <v>#DIV/0!</v>
      </c>
      <c r="I27" s="33"/>
      <c r="J27" s="21">
        <f t="shared" si="1"/>
        <v>0</v>
      </c>
      <c r="K27" s="24" t="e">
        <f t="shared" si="2"/>
        <v>#DIV/0!</v>
      </c>
      <c r="L27" s="70" t="e">
        <f t="shared" si="3"/>
        <v>#DIV/0!</v>
      </c>
      <c r="M27" s="75" t="e">
        <f t="shared" si="4"/>
        <v>#DIV/0!</v>
      </c>
      <c r="N27" s="1"/>
      <c r="O27" s="28"/>
      <c r="P27" s="19" t="s">
        <v>39</v>
      </c>
      <c r="Q27" s="31">
        <f t="shared" si="5"/>
        <v>-2</v>
      </c>
      <c r="R27" s="38"/>
      <c r="AL27" s="196" t="s">
        <v>244</v>
      </c>
      <c r="AM27" s="197"/>
      <c r="AO27" s="93">
        <f>COUNTIF(D2:D1048576, "Обе команды забьют")</f>
        <v>0</v>
      </c>
      <c r="AP27" s="95">
        <f>COUNTIF(D2:D1048576, "Сколько команд забьёт")</f>
        <v>0</v>
      </c>
      <c r="AQ27" s="95">
        <f>COUNTIF(D2:D1048576, "Кто забьёт 1-й гол")</f>
        <v>0</v>
      </c>
      <c r="AR27" s="95">
        <f>COUNTIF(D2:D1048576, "Кто забьёт последний гол")</f>
        <v>0</v>
      </c>
      <c r="AS27" s="97">
        <f>COUNTIF(D2:D1048576, "Наиболее результативный тайм")</f>
        <v>0</v>
      </c>
    </row>
    <row r="28" spans="1:48" ht="15.75" customHeight="1" thickTop="1" thickBot="1" x14ac:dyDescent="0.35">
      <c r="A28" s="50"/>
      <c r="B28" s="51"/>
      <c r="D28" s="119"/>
      <c r="E28" s="115" t="s">
        <v>16</v>
      </c>
      <c r="F28" s="23"/>
      <c r="G28" s="23"/>
      <c r="H28" s="24" t="e">
        <f t="shared" si="6"/>
        <v>#DIV/0!</v>
      </c>
      <c r="I28" s="33"/>
      <c r="J28" s="21">
        <f t="shared" si="1"/>
        <v>0</v>
      </c>
      <c r="K28" s="24" t="e">
        <f t="shared" si="2"/>
        <v>#DIV/0!</v>
      </c>
      <c r="L28" s="70" t="e">
        <f t="shared" si="3"/>
        <v>#DIV/0!</v>
      </c>
      <c r="M28" s="75" t="e">
        <f t="shared" si="4"/>
        <v>#DIV/0!</v>
      </c>
      <c r="N28" s="1"/>
      <c r="O28" s="28"/>
      <c r="P28" s="19" t="s">
        <v>39</v>
      </c>
      <c r="Q28" s="30">
        <f t="shared" si="5"/>
        <v>-2</v>
      </c>
      <c r="R28" s="38"/>
      <c r="AL28" s="198">
        <f>(AM26-AL26)</f>
        <v>0</v>
      </c>
      <c r="AM28" s="199"/>
      <c r="AO28" s="92" t="s">
        <v>196</v>
      </c>
      <c r="AP28" s="94" t="s">
        <v>197</v>
      </c>
      <c r="AQ28" s="94" t="s">
        <v>198</v>
      </c>
      <c r="AR28" s="94" t="s">
        <v>203</v>
      </c>
      <c r="AS28" s="98" t="s">
        <v>199</v>
      </c>
    </row>
    <row r="29" spans="1:48" ht="15.75" customHeight="1" thickBot="1" x14ac:dyDescent="0.35">
      <c r="A29" s="50"/>
      <c r="B29" s="51"/>
      <c r="D29" s="119"/>
      <c r="E29" s="115" t="s">
        <v>16</v>
      </c>
      <c r="F29" s="23"/>
      <c r="G29" s="23"/>
      <c r="H29" s="24" t="e">
        <f t="shared" si="6"/>
        <v>#DIV/0!</v>
      </c>
      <c r="I29" s="33"/>
      <c r="J29" s="21">
        <f t="shared" si="1"/>
        <v>0</v>
      </c>
      <c r="K29" s="24" t="e">
        <f t="shared" si="2"/>
        <v>#DIV/0!</v>
      </c>
      <c r="L29" s="70" t="e">
        <f t="shared" si="3"/>
        <v>#DIV/0!</v>
      </c>
      <c r="M29" s="75" t="e">
        <f t="shared" si="4"/>
        <v>#DIV/0!</v>
      </c>
      <c r="N29" s="1"/>
      <c r="O29" s="28"/>
      <c r="P29" s="19" t="s">
        <v>39</v>
      </c>
      <c r="Q29" s="31">
        <f t="shared" si="5"/>
        <v>-2</v>
      </c>
      <c r="R29" s="38"/>
      <c r="AO29" s="93">
        <f>COUNTIF(D2:D1048576, "Чет/нечет")</f>
        <v>0</v>
      </c>
      <c r="AP29" s="95">
        <f>COUNTIF(D2:D1048576, "Победитель + Разница мячей")</f>
        <v>0</v>
      </c>
      <c r="AQ29" s="95">
        <f>COUNTIF(D2:D1048576, "Победитель + Обе забьют")</f>
        <v>0</v>
      </c>
      <c r="AR29" s="95">
        <f>COUNTIF(D2:D1048576, "Победитель + Тотал")</f>
        <v>0</v>
      </c>
      <c r="AS29" s="97">
        <f>COUNTIF(D2:D1048576, "Автор гола")</f>
        <v>0</v>
      </c>
    </row>
    <row r="30" spans="1:48" ht="15.75" customHeight="1" thickTop="1" x14ac:dyDescent="0.3">
      <c r="A30" s="50"/>
      <c r="B30" s="51"/>
      <c r="D30" s="119"/>
      <c r="E30" s="115" t="s">
        <v>16</v>
      </c>
      <c r="F30" s="23"/>
      <c r="G30" s="23"/>
      <c r="H30" s="24" t="e">
        <f t="shared" si="6"/>
        <v>#DIV/0!</v>
      </c>
      <c r="I30" s="33"/>
      <c r="J30" s="21">
        <f t="shared" si="1"/>
        <v>0</v>
      </c>
      <c r="K30" s="24" t="e">
        <f t="shared" si="2"/>
        <v>#DIV/0!</v>
      </c>
      <c r="L30" s="70" t="e">
        <f t="shared" si="3"/>
        <v>#DIV/0!</v>
      </c>
      <c r="M30" s="75" t="e">
        <f t="shared" si="4"/>
        <v>#DIV/0!</v>
      </c>
      <c r="N30" s="1"/>
      <c r="O30" s="28"/>
      <c r="P30" s="19" t="s">
        <v>39</v>
      </c>
      <c r="Q30" s="30">
        <f t="shared" si="5"/>
        <v>-2</v>
      </c>
      <c r="R30" s="38"/>
      <c r="AO30" s="92" t="s">
        <v>200</v>
      </c>
      <c r="AP30" s="94" t="s">
        <v>201</v>
      </c>
      <c r="AQ30" s="94"/>
      <c r="AR30" s="94"/>
      <c r="AS30" s="98"/>
    </row>
    <row r="31" spans="1:48" ht="15.75" customHeight="1" thickBot="1" x14ac:dyDescent="0.35">
      <c r="A31" s="50"/>
      <c r="B31" s="54"/>
      <c r="D31" s="119"/>
      <c r="E31" s="115" t="s">
        <v>16</v>
      </c>
      <c r="F31" s="23"/>
      <c r="G31" s="23"/>
      <c r="H31" s="24" t="e">
        <f t="shared" si="6"/>
        <v>#DIV/0!</v>
      </c>
      <c r="I31" s="33"/>
      <c r="J31" s="21">
        <f t="shared" si="1"/>
        <v>0</v>
      </c>
      <c r="K31" s="24" t="e">
        <f t="shared" si="2"/>
        <v>#DIV/0!</v>
      </c>
      <c r="L31" s="70" t="e">
        <f t="shared" si="3"/>
        <v>#DIV/0!</v>
      </c>
      <c r="M31" s="75" t="e">
        <f t="shared" si="4"/>
        <v>#DIV/0!</v>
      </c>
      <c r="N31" s="1"/>
      <c r="O31" s="28"/>
      <c r="P31" s="19" t="s">
        <v>39</v>
      </c>
      <c r="Q31" s="31">
        <f t="shared" si="5"/>
        <v>-2</v>
      </c>
      <c r="R31" s="38"/>
      <c r="AO31" s="121">
        <f>COUNTIF(D2:D1048576, "Лучший бомбардир")</f>
        <v>0</v>
      </c>
      <c r="AP31" s="122">
        <f>COUNTIF(D2:D1048576, "Победитель турнира")</f>
        <v>0</v>
      </c>
      <c r="AQ31" s="122"/>
      <c r="AR31" s="122"/>
      <c r="AS31" s="123"/>
    </row>
    <row r="32" spans="1:48" ht="15.75" customHeight="1" x14ac:dyDescent="0.3">
      <c r="A32" s="55"/>
      <c r="B32" s="51"/>
      <c r="D32" s="119"/>
      <c r="E32" s="115" t="s">
        <v>16</v>
      </c>
      <c r="F32" s="23"/>
      <c r="G32" s="23"/>
      <c r="H32" s="24" t="e">
        <f t="shared" si="6"/>
        <v>#DIV/0!</v>
      </c>
      <c r="I32" s="33"/>
      <c r="J32" s="21">
        <f t="shared" si="1"/>
        <v>0</v>
      </c>
      <c r="K32" s="24" t="e">
        <f t="shared" si="2"/>
        <v>#DIV/0!</v>
      </c>
      <c r="L32" s="70" t="e">
        <f t="shared" si="3"/>
        <v>#DIV/0!</v>
      </c>
      <c r="M32" s="75" t="e">
        <f t="shared" si="4"/>
        <v>#DIV/0!</v>
      </c>
      <c r="N32" s="1"/>
      <c r="O32" s="28"/>
      <c r="P32" s="19" t="s">
        <v>39</v>
      </c>
      <c r="Q32" s="30">
        <f t="shared" si="5"/>
        <v>-2</v>
      </c>
      <c r="R32" s="38"/>
    </row>
    <row r="33" spans="1:18" ht="15" customHeight="1" x14ac:dyDescent="0.3">
      <c r="A33" s="50"/>
      <c r="B33" s="49"/>
      <c r="D33" s="119"/>
      <c r="E33" s="115" t="s">
        <v>16</v>
      </c>
      <c r="F33" s="23"/>
      <c r="G33" s="23"/>
      <c r="H33" s="24" t="e">
        <f t="shared" si="6"/>
        <v>#DIV/0!</v>
      </c>
      <c r="I33" s="33"/>
      <c r="J33" s="21">
        <f t="shared" si="1"/>
        <v>0</v>
      </c>
      <c r="K33" s="24" t="e">
        <f t="shared" si="2"/>
        <v>#DIV/0!</v>
      </c>
      <c r="L33" s="70" t="e">
        <f t="shared" si="3"/>
        <v>#DIV/0!</v>
      </c>
      <c r="M33" s="75" t="e">
        <f t="shared" si="4"/>
        <v>#DIV/0!</v>
      </c>
      <c r="N33" s="1"/>
      <c r="O33" s="28"/>
      <c r="P33" s="19" t="s">
        <v>39</v>
      </c>
      <c r="Q33" s="30">
        <f t="shared" si="5"/>
        <v>-2</v>
      </c>
      <c r="R33" s="38"/>
    </row>
    <row r="34" spans="1:18" ht="15" customHeight="1" x14ac:dyDescent="0.3">
      <c r="A34" s="50"/>
      <c r="B34" s="51"/>
      <c r="D34" s="119"/>
      <c r="E34" s="115" t="s">
        <v>16</v>
      </c>
      <c r="F34" s="23"/>
      <c r="G34" s="23"/>
      <c r="H34" s="24" t="e">
        <f t="shared" si="6"/>
        <v>#DIV/0!</v>
      </c>
      <c r="I34" s="33"/>
      <c r="J34" s="21">
        <f t="shared" si="1"/>
        <v>0</v>
      </c>
      <c r="K34" s="24" t="e">
        <f t="shared" si="2"/>
        <v>#DIV/0!</v>
      </c>
      <c r="L34" s="70" t="e">
        <f t="shared" si="3"/>
        <v>#DIV/0!</v>
      </c>
      <c r="M34" s="75" t="e">
        <f t="shared" si="4"/>
        <v>#DIV/0!</v>
      </c>
      <c r="N34" s="1"/>
      <c r="O34" s="28"/>
      <c r="P34" s="19" t="s">
        <v>39</v>
      </c>
      <c r="Q34" s="30">
        <f t="shared" si="5"/>
        <v>-2</v>
      </c>
      <c r="R34" s="38"/>
    </row>
    <row r="35" spans="1:18" ht="15" customHeight="1" x14ac:dyDescent="0.3">
      <c r="A35" s="50"/>
      <c r="B35" s="51"/>
      <c r="D35" s="119"/>
      <c r="E35" s="115" t="s">
        <v>16</v>
      </c>
      <c r="F35" s="23"/>
      <c r="G35" s="23"/>
      <c r="H35" s="24" t="e">
        <f t="shared" si="6"/>
        <v>#DIV/0!</v>
      </c>
      <c r="I35" s="33"/>
      <c r="J35" s="21">
        <f t="shared" si="1"/>
        <v>0</v>
      </c>
      <c r="K35" s="24" t="e">
        <f t="shared" si="2"/>
        <v>#DIV/0!</v>
      </c>
      <c r="L35" s="70" t="e">
        <f t="shared" si="3"/>
        <v>#DIV/0!</v>
      </c>
      <c r="M35" s="75" t="e">
        <f t="shared" si="4"/>
        <v>#DIV/0!</v>
      </c>
      <c r="N35" s="1"/>
      <c r="O35" s="28"/>
      <c r="P35" s="19" t="s">
        <v>39</v>
      </c>
      <c r="Q35" s="30">
        <f t="shared" si="5"/>
        <v>-2</v>
      </c>
      <c r="R35" s="38"/>
    </row>
    <row r="36" spans="1:18" ht="15" customHeight="1" x14ac:dyDescent="0.3">
      <c r="A36" s="50"/>
      <c r="B36" s="51"/>
      <c r="D36" s="119"/>
      <c r="E36" s="115" t="s">
        <v>16</v>
      </c>
      <c r="F36" s="23"/>
      <c r="G36" s="23"/>
      <c r="H36" s="24" t="e">
        <f t="shared" si="6"/>
        <v>#DIV/0!</v>
      </c>
      <c r="I36" s="33"/>
      <c r="J36" s="21">
        <f t="shared" si="1"/>
        <v>0</v>
      </c>
      <c r="K36" s="24" t="e">
        <f t="shared" si="2"/>
        <v>#DIV/0!</v>
      </c>
      <c r="L36" s="70" t="e">
        <f t="shared" si="3"/>
        <v>#DIV/0!</v>
      </c>
      <c r="M36" s="75" t="e">
        <f t="shared" si="4"/>
        <v>#DIV/0!</v>
      </c>
      <c r="N36" s="1"/>
      <c r="O36" s="28"/>
      <c r="P36" s="19" t="s">
        <v>39</v>
      </c>
      <c r="Q36" s="30">
        <f t="shared" si="5"/>
        <v>-2</v>
      </c>
      <c r="R36" s="38"/>
    </row>
    <row r="37" spans="1:18" ht="15" customHeight="1" x14ac:dyDescent="0.3">
      <c r="A37" s="50"/>
      <c r="B37" s="51"/>
      <c r="D37" s="119"/>
      <c r="E37" s="115" t="s">
        <v>16</v>
      </c>
      <c r="F37" s="23"/>
      <c r="G37" s="23"/>
      <c r="H37" s="24" t="e">
        <f t="shared" si="6"/>
        <v>#DIV/0!</v>
      </c>
      <c r="I37" s="33"/>
      <c r="J37" s="21">
        <f t="shared" si="1"/>
        <v>0</v>
      </c>
      <c r="K37" s="24" t="e">
        <f t="shared" si="2"/>
        <v>#DIV/0!</v>
      </c>
      <c r="L37" s="70" t="e">
        <f t="shared" si="3"/>
        <v>#DIV/0!</v>
      </c>
      <c r="M37" s="75" t="e">
        <f t="shared" si="4"/>
        <v>#DIV/0!</v>
      </c>
      <c r="N37" s="1"/>
      <c r="O37" s="28"/>
      <c r="P37" s="19" t="s">
        <v>39</v>
      </c>
      <c r="Q37" s="30">
        <f t="shared" si="5"/>
        <v>-2</v>
      </c>
      <c r="R37" s="38"/>
    </row>
    <row r="38" spans="1:18" ht="15" customHeight="1" x14ac:dyDescent="0.3">
      <c r="A38" s="50"/>
      <c r="B38" s="51"/>
      <c r="D38" s="119"/>
      <c r="E38" s="115" t="s">
        <v>16</v>
      </c>
      <c r="F38" s="23"/>
      <c r="G38" s="23"/>
      <c r="H38" s="24" t="e">
        <f t="shared" si="6"/>
        <v>#DIV/0!</v>
      </c>
      <c r="I38" s="33"/>
      <c r="J38" s="21">
        <f t="shared" si="1"/>
        <v>0</v>
      </c>
      <c r="K38" s="24" t="e">
        <f t="shared" si="2"/>
        <v>#DIV/0!</v>
      </c>
      <c r="L38" s="70" t="e">
        <f t="shared" si="3"/>
        <v>#DIV/0!</v>
      </c>
      <c r="M38" s="75" t="e">
        <f t="shared" si="4"/>
        <v>#DIV/0!</v>
      </c>
      <c r="N38" s="1"/>
      <c r="O38" s="28"/>
      <c r="P38" s="19" t="s">
        <v>39</v>
      </c>
      <c r="Q38" s="30">
        <f t="shared" si="5"/>
        <v>-2</v>
      </c>
      <c r="R38" s="38"/>
    </row>
    <row r="39" spans="1:18" ht="15" customHeight="1" x14ac:dyDescent="0.3">
      <c r="A39" s="50"/>
      <c r="B39" s="51"/>
      <c r="D39" s="119"/>
      <c r="E39" s="115" t="s">
        <v>16</v>
      </c>
      <c r="F39" s="23"/>
      <c r="G39" s="23"/>
      <c r="H39" s="24" t="e">
        <f t="shared" si="6"/>
        <v>#DIV/0!</v>
      </c>
      <c r="I39" s="33"/>
      <c r="J39" s="21">
        <f t="shared" si="1"/>
        <v>0</v>
      </c>
      <c r="K39" s="24" t="e">
        <f t="shared" si="2"/>
        <v>#DIV/0!</v>
      </c>
      <c r="L39" s="70" t="e">
        <f t="shared" si="3"/>
        <v>#DIV/0!</v>
      </c>
      <c r="M39" s="75" t="e">
        <f t="shared" si="4"/>
        <v>#DIV/0!</v>
      </c>
      <c r="N39" s="1"/>
      <c r="O39" s="28"/>
      <c r="P39" s="19" t="s">
        <v>39</v>
      </c>
      <c r="Q39" s="30">
        <f t="shared" si="5"/>
        <v>-2</v>
      </c>
      <c r="R39" s="38"/>
    </row>
    <row r="40" spans="1:18" ht="15" customHeight="1" x14ac:dyDescent="0.3">
      <c r="A40" s="50"/>
      <c r="B40" s="51"/>
      <c r="D40" s="119"/>
      <c r="E40" s="115" t="s">
        <v>16</v>
      </c>
      <c r="F40" s="23"/>
      <c r="G40" s="23"/>
      <c r="H40" s="24" t="e">
        <f t="shared" si="6"/>
        <v>#DIV/0!</v>
      </c>
      <c r="I40" s="33"/>
      <c r="J40" s="21">
        <f t="shared" si="1"/>
        <v>0</v>
      </c>
      <c r="K40" s="24" t="e">
        <f t="shared" si="2"/>
        <v>#DIV/0!</v>
      </c>
      <c r="L40" s="70" t="e">
        <f t="shared" si="3"/>
        <v>#DIV/0!</v>
      </c>
      <c r="M40" s="75" t="e">
        <f t="shared" si="4"/>
        <v>#DIV/0!</v>
      </c>
      <c r="N40" s="1"/>
      <c r="O40" s="28"/>
      <c r="P40" s="19" t="s">
        <v>39</v>
      </c>
      <c r="Q40" s="30">
        <f t="shared" si="5"/>
        <v>-2</v>
      </c>
      <c r="R40" s="38"/>
    </row>
    <row r="41" spans="1:18" ht="15" customHeight="1" x14ac:dyDescent="0.3">
      <c r="A41" s="50"/>
      <c r="B41" s="51"/>
      <c r="D41" s="119"/>
      <c r="E41" s="115" t="s">
        <v>16</v>
      </c>
      <c r="F41" s="23"/>
      <c r="G41" s="23"/>
      <c r="H41" s="24" t="e">
        <f t="shared" si="6"/>
        <v>#DIV/0!</v>
      </c>
      <c r="I41" s="33"/>
      <c r="J41" s="21">
        <f t="shared" si="1"/>
        <v>0</v>
      </c>
      <c r="K41" s="24" t="e">
        <f t="shared" si="2"/>
        <v>#DIV/0!</v>
      </c>
      <c r="L41" s="70" t="e">
        <f t="shared" si="3"/>
        <v>#DIV/0!</v>
      </c>
      <c r="M41" s="75" t="e">
        <f t="shared" si="4"/>
        <v>#DIV/0!</v>
      </c>
      <c r="N41" s="1"/>
      <c r="O41" s="28"/>
      <c r="P41" s="19" t="s">
        <v>39</v>
      </c>
      <c r="Q41" s="30">
        <f t="shared" si="5"/>
        <v>-2</v>
      </c>
      <c r="R41" s="38"/>
    </row>
    <row r="42" spans="1:18" ht="15" customHeight="1" x14ac:dyDescent="0.3">
      <c r="A42" s="50"/>
      <c r="B42" s="51"/>
      <c r="D42" s="119"/>
      <c r="E42" s="115" t="s">
        <v>16</v>
      </c>
      <c r="F42" s="23"/>
      <c r="G42" s="23"/>
      <c r="H42" s="24" t="e">
        <f t="shared" si="6"/>
        <v>#DIV/0!</v>
      </c>
      <c r="I42" s="33"/>
      <c r="J42" s="21">
        <f t="shared" si="1"/>
        <v>0</v>
      </c>
      <c r="K42" s="24" t="e">
        <f t="shared" si="2"/>
        <v>#DIV/0!</v>
      </c>
      <c r="L42" s="70" t="e">
        <f t="shared" si="3"/>
        <v>#DIV/0!</v>
      </c>
      <c r="M42" s="75" t="e">
        <f t="shared" si="4"/>
        <v>#DIV/0!</v>
      </c>
      <c r="N42" s="1"/>
      <c r="O42" s="28"/>
      <c r="P42" s="19" t="s">
        <v>39</v>
      </c>
      <c r="Q42" s="30">
        <f t="shared" si="5"/>
        <v>-2</v>
      </c>
      <c r="R42" s="38"/>
    </row>
    <row r="43" spans="1:18" ht="15" customHeight="1" x14ac:dyDescent="0.3">
      <c r="A43" s="50"/>
      <c r="B43" s="51"/>
      <c r="D43" s="119"/>
      <c r="E43" s="115" t="s">
        <v>16</v>
      </c>
      <c r="F43" s="23"/>
      <c r="G43" s="23"/>
      <c r="H43" s="24" t="e">
        <f t="shared" si="6"/>
        <v>#DIV/0!</v>
      </c>
      <c r="I43" s="33"/>
      <c r="J43" s="21">
        <f t="shared" si="1"/>
        <v>0</v>
      </c>
      <c r="K43" s="24" t="e">
        <f t="shared" si="2"/>
        <v>#DIV/0!</v>
      </c>
      <c r="L43" s="70" t="e">
        <f t="shared" si="3"/>
        <v>#DIV/0!</v>
      </c>
      <c r="M43" s="75" t="e">
        <f t="shared" si="4"/>
        <v>#DIV/0!</v>
      </c>
      <c r="N43" s="1"/>
      <c r="O43" s="28"/>
      <c r="P43" s="19" t="s">
        <v>39</v>
      </c>
      <c r="Q43" s="30">
        <f t="shared" si="5"/>
        <v>-2</v>
      </c>
      <c r="R43" s="38"/>
    </row>
    <row r="44" spans="1:18" ht="15" customHeight="1" x14ac:dyDescent="0.3">
      <c r="A44" s="50"/>
      <c r="B44" s="51"/>
      <c r="D44" s="119"/>
      <c r="E44" s="115" t="s">
        <v>16</v>
      </c>
      <c r="F44" s="23"/>
      <c r="G44" s="23"/>
      <c r="H44" s="24" t="e">
        <f t="shared" si="6"/>
        <v>#DIV/0!</v>
      </c>
      <c r="I44" s="33"/>
      <c r="J44" s="21">
        <f t="shared" si="1"/>
        <v>0</v>
      </c>
      <c r="K44" s="24" t="e">
        <f t="shared" si="2"/>
        <v>#DIV/0!</v>
      </c>
      <c r="L44" s="70" t="e">
        <f t="shared" si="3"/>
        <v>#DIV/0!</v>
      </c>
      <c r="M44" s="75" t="e">
        <f t="shared" si="4"/>
        <v>#DIV/0!</v>
      </c>
      <c r="N44" s="1"/>
      <c r="O44" s="28"/>
      <c r="P44" s="19" t="s">
        <v>39</v>
      </c>
      <c r="Q44" s="30">
        <f t="shared" si="5"/>
        <v>-2</v>
      </c>
      <c r="R44" s="38"/>
    </row>
    <row r="45" spans="1:18" x14ac:dyDescent="0.3">
      <c r="A45" s="50"/>
      <c r="B45" s="51"/>
      <c r="D45" s="119"/>
      <c r="E45" s="115" t="s">
        <v>16</v>
      </c>
      <c r="F45" s="23"/>
      <c r="G45" s="23"/>
      <c r="H45" s="24" t="e">
        <f t="shared" si="6"/>
        <v>#DIV/0!</v>
      </c>
      <c r="I45" s="33"/>
      <c r="J45" s="21">
        <f t="shared" si="1"/>
        <v>0</v>
      </c>
      <c r="K45" s="24" t="e">
        <f t="shared" si="2"/>
        <v>#DIV/0!</v>
      </c>
      <c r="L45" s="70" t="e">
        <f t="shared" si="3"/>
        <v>#DIV/0!</v>
      </c>
      <c r="M45" s="75" t="e">
        <f t="shared" si="4"/>
        <v>#DIV/0!</v>
      </c>
      <c r="N45" s="1"/>
      <c r="O45" s="28"/>
      <c r="P45" s="19" t="s">
        <v>39</v>
      </c>
      <c r="Q45" s="30">
        <f t="shared" si="5"/>
        <v>-2</v>
      </c>
      <c r="R45" s="38"/>
    </row>
    <row r="46" spans="1:18" x14ac:dyDescent="0.3">
      <c r="A46" s="50"/>
      <c r="B46" s="51"/>
      <c r="D46" s="119"/>
      <c r="E46" s="115" t="s">
        <v>16</v>
      </c>
      <c r="F46" s="23"/>
      <c r="G46" s="23"/>
      <c r="H46" s="24" t="e">
        <f t="shared" si="6"/>
        <v>#DIV/0!</v>
      </c>
      <c r="I46" s="33"/>
      <c r="J46" s="21">
        <f t="shared" si="1"/>
        <v>0</v>
      </c>
      <c r="K46" s="24" t="e">
        <f t="shared" si="2"/>
        <v>#DIV/0!</v>
      </c>
      <c r="L46" s="70" t="e">
        <f t="shared" si="3"/>
        <v>#DIV/0!</v>
      </c>
      <c r="M46" s="75" t="e">
        <f t="shared" si="4"/>
        <v>#DIV/0!</v>
      </c>
      <c r="N46" s="1"/>
      <c r="O46" s="28"/>
      <c r="P46" s="19" t="s">
        <v>39</v>
      </c>
      <c r="Q46" s="30">
        <f t="shared" si="5"/>
        <v>-2</v>
      </c>
      <c r="R46" s="38"/>
    </row>
    <row r="47" spans="1:18" x14ac:dyDescent="0.3">
      <c r="A47" s="50"/>
      <c r="B47" s="51"/>
      <c r="D47" s="119"/>
      <c r="E47" s="115" t="s">
        <v>16</v>
      </c>
      <c r="F47" s="23"/>
      <c r="G47" s="23"/>
      <c r="H47" s="24" t="e">
        <f t="shared" si="6"/>
        <v>#DIV/0!</v>
      </c>
      <c r="I47" s="33"/>
      <c r="J47" s="21">
        <f t="shared" si="1"/>
        <v>0</v>
      </c>
      <c r="K47" s="24" t="e">
        <f t="shared" si="2"/>
        <v>#DIV/0!</v>
      </c>
      <c r="L47" s="70" t="e">
        <f t="shared" si="3"/>
        <v>#DIV/0!</v>
      </c>
      <c r="M47" s="75" t="e">
        <f t="shared" si="4"/>
        <v>#DIV/0!</v>
      </c>
      <c r="N47" s="1"/>
      <c r="O47" s="28"/>
      <c r="P47" s="19" t="s">
        <v>39</v>
      </c>
      <c r="Q47" s="30">
        <f t="shared" si="5"/>
        <v>-2</v>
      </c>
      <c r="R47" s="38"/>
    </row>
    <row r="48" spans="1:18" x14ac:dyDescent="0.3">
      <c r="A48" s="50"/>
      <c r="B48" s="51"/>
      <c r="D48" s="119"/>
      <c r="E48" s="115" t="s">
        <v>16</v>
      </c>
      <c r="F48" s="23"/>
      <c r="G48" s="23"/>
      <c r="H48" s="24" t="e">
        <f t="shared" si="6"/>
        <v>#DIV/0!</v>
      </c>
      <c r="I48" s="33"/>
      <c r="J48" s="21">
        <f t="shared" si="1"/>
        <v>0</v>
      </c>
      <c r="K48" s="24" t="e">
        <f t="shared" si="2"/>
        <v>#DIV/0!</v>
      </c>
      <c r="L48" s="70" t="e">
        <f t="shared" si="3"/>
        <v>#DIV/0!</v>
      </c>
      <c r="M48" s="75" t="e">
        <f t="shared" si="4"/>
        <v>#DIV/0!</v>
      </c>
      <c r="N48" s="1"/>
      <c r="O48" s="28"/>
      <c r="P48" s="19" t="s">
        <v>39</v>
      </c>
      <c r="Q48" s="30">
        <f t="shared" si="5"/>
        <v>-2</v>
      </c>
      <c r="R48" s="38"/>
    </row>
    <row r="49" spans="1:18" x14ac:dyDescent="0.3">
      <c r="A49" s="53"/>
      <c r="B49" s="54"/>
      <c r="D49" s="119"/>
      <c r="E49" s="115" t="s">
        <v>16</v>
      </c>
      <c r="F49" s="23"/>
      <c r="G49" s="23"/>
      <c r="H49" s="24" t="e">
        <f t="shared" si="6"/>
        <v>#DIV/0!</v>
      </c>
      <c r="I49" s="33"/>
      <c r="J49" s="21">
        <f t="shared" si="1"/>
        <v>0</v>
      </c>
      <c r="K49" s="24" t="e">
        <f t="shared" si="2"/>
        <v>#DIV/0!</v>
      </c>
      <c r="L49" s="70" t="e">
        <f t="shared" si="3"/>
        <v>#DIV/0!</v>
      </c>
      <c r="M49" s="75" t="e">
        <f t="shared" si="4"/>
        <v>#DIV/0!</v>
      </c>
      <c r="N49" s="1"/>
      <c r="O49" s="28"/>
      <c r="P49" s="19" t="s">
        <v>39</v>
      </c>
      <c r="Q49" s="30">
        <f t="shared" si="5"/>
        <v>-2</v>
      </c>
      <c r="R49" s="38"/>
    </row>
    <row r="50" spans="1:18" x14ac:dyDescent="0.3">
      <c r="A50" s="50"/>
      <c r="B50" s="51"/>
      <c r="D50" s="119"/>
      <c r="E50" s="115" t="s">
        <v>16</v>
      </c>
      <c r="F50" s="23"/>
      <c r="G50" s="23"/>
      <c r="H50" s="24" t="e">
        <f t="shared" si="6"/>
        <v>#DIV/0!</v>
      </c>
      <c r="I50" s="33"/>
      <c r="J50" s="21">
        <f t="shared" si="1"/>
        <v>0</v>
      </c>
      <c r="K50" s="24" t="e">
        <f t="shared" si="2"/>
        <v>#DIV/0!</v>
      </c>
      <c r="L50" s="70" t="e">
        <f t="shared" si="3"/>
        <v>#DIV/0!</v>
      </c>
      <c r="M50" s="75" t="e">
        <f t="shared" si="4"/>
        <v>#DIV/0!</v>
      </c>
      <c r="N50" s="1"/>
      <c r="O50" s="28"/>
      <c r="P50" s="19" t="s">
        <v>39</v>
      </c>
      <c r="Q50" s="30">
        <f t="shared" si="5"/>
        <v>-2</v>
      </c>
      <c r="R50" s="38"/>
    </row>
    <row r="51" spans="1:18" x14ac:dyDescent="0.3">
      <c r="A51" s="48"/>
      <c r="B51" s="49"/>
      <c r="D51" s="119"/>
      <c r="E51" s="115" t="s">
        <v>16</v>
      </c>
      <c r="F51" s="23"/>
      <c r="G51" s="23"/>
      <c r="H51" s="24" t="e">
        <f t="shared" si="6"/>
        <v>#DIV/0!</v>
      </c>
      <c r="I51" s="33"/>
      <c r="J51" s="21">
        <f t="shared" si="1"/>
        <v>0</v>
      </c>
      <c r="K51" s="24" t="e">
        <f t="shared" si="2"/>
        <v>#DIV/0!</v>
      </c>
      <c r="L51" s="70" t="e">
        <f t="shared" si="3"/>
        <v>#DIV/0!</v>
      </c>
      <c r="M51" s="75" t="e">
        <f t="shared" si="4"/>
        <v>#DIV/0!</v>
      </c>
      <c r="N51" s="1"/>
      <c r="O51" s="28"/>
      <c r="P51" s="19" t="s">
        <v>39</v>
      </c>
      <c r="Q51" s="30">
        <f t="shared" si="5"/>
        <v>-2</v>
      </c>
      <c r="R51" s="38"/>
    </row>
    <row r="52" spans="1:18" x14ac:dyDescent="0.3">
      <c r="A52" s="64"/>
      <c r="B52" s="65"/>
      <c r="D52" s="119"/>
      <c r="E52" s="115" t="s">
        <v>16</v>
      </c>
      <c r="F52" s="23"/>
      <c r="G52" s="23"/>
      <c r="H52" s="24" t="e">
        <f t="shared" si="6"/>
        <v>#DIV/0!</v>
      </c>
      <c r="I52" s="33"/>
      <c r="J52" s="21">
        <f t="shared" si="1"/>
        <v>0</v>
      </c>
      <c r="K52" s="24" t="e">
        <f t="shared" si="2"/>
        <v>#DIV/0!</v>
      </c>
      <c r="L52" s="70" t="e">
        <f t="shared" si="3"/>
        <v>#DIV/0!</v>
      </c>
      <c r="M52" s="75" t="e">
        <f t="shared" si="4"/>
        <v>#DIV/0!</v>
      </c>
      <c r="N52" s="1"/>
      <c r="O52" s="28"/>
      <c r="P52" s="19" t="s">
        <v>39</v>
      </c>
      <c r="Q52" s="30">
        <f t="shared" si="5"/>
        <v>-2</v>
      </c>
      <c r="R52" s="38"/>
    </row>
    <row r="53" spans="1:18" x14ac:dyDescent="0.3">
      <c r="A53" s="64"/>
      <c r="B53" s="65"/>
      <c r="D53" s="119"/>
      <c r="E53" s="115" t="s">
        <v>16</v>
      </c>
      <c r="F53" s="23"/>
      <c r="G53" s="23"/>
      <c r="H53" s="24" t="e">
        <f t="shared" si="6"/>
        <v>#DIV/0!</v>
      </c>
      <c r="I53" s="33"/>
      <c r="J53" s="21">
        <f t="shared" si="1"/>
        <v>0</v>
      </c>
      <c r="K53" s="24" t="e">
        <f t="shared" si="2"/>
        <v>#DIV/0!</v>
      </c>
      <c r="L53" s="70" t="e">
        <f t="shared" si="3"/>
        <v>#DIV/0!</v>
      </c>
      <c r="M53" s="75" t="e">
        <f t="shared" si="4"/>
        <v>#DIV/0!</v>
      </c>
      <c r="N53" s="1"/>
      <c r="O53" s="28"/>
      <c r="P53" s="19" t="s">
        <v>39</v>
      </c>
      <c r="Q53" s="30">
        <f t="shared" si="5"/>
        <v>-2</v>
      </c>
      <c r="R53" s="38"/>
    </row>
    <row r="54" spans="1:18" x14ac:dyDescent="0.3">
      <c r="A54" s="64"/>
      <c r="B54" s="65"/>
      <c r="D54" s="119"/>
      <c r="E54" s="115" t="s">
        <v>16</v>
      </c>
      <c r="F54" s="23"/>
      <c r="G54" s="23"/>
      <c r="H54" s="24" t="e">
        <f t="shared" si="6"/>
        <v>#DIV/0!</v>
      </c>
      <c r="I54" s="33"/>
      <c r="J54" s="21">
        <f t="shared" si="1"/>
        <v>0</v>
      </c>
      <c r="K54" s="24" t="e">
        <f t="shared" si="2"/>
        <v>#DIV/0!</v>
      </c>
      <c r="L54" s="70" t="e">
        <f t="shared" si="3"/>
        <v>#DIV/0!</v>
      </c>
      <c r="M54" s="75" t="e">
        <f t="shared" si="4"/>
        <v>#DIV/0!</v>
      </c>
      <c r="N54" s="1"/>
      <c r="O54" s="28"/>
      <c r="P54" s="19" t="s">
        <v>39</v>
      </c>
      <c r="Q54" s="30">
        <f t="shared" si="5"/>
        <v>-2</v>
      </c>
      <c r="R54" s="38"/>
    </row>
    <row r="55" spans="1:18" x14ac:dyDescent="0.3">
      <c r="A55" s="64"/>
      <c r="B55" s="65"/>
      <c r="D55" s="119"/>
      <c r="E55" s="115" t="s">
        <v>16</v>
      </c>
      <c r="F55" s="23"/>
      <c r="G55" s="23"/>
      <c r="H55" s="24" t="e">
        <f t="shared" si="6"/>
        <v>#DIV/0!</v>
      </c>
      <c r="I55" s="33"/>
      <c r="J55" s="21">
        <f t="shared" si="1"/>
        <v>0</v>
      </c>
      <c r="K55" s="24" t="e">
        <f t="shared" si="2"/>
        <v>#DIV/0!</v>
      </c>
      <c r="L55" s="70" t="e">
        <f t="shared" si="3"/>
        <v>#DIV/0!</v>
      </c>
      <c r="M55" s="75" t="e">
        <f t="shared" si="4"/>
        <v>#DIV/0!</v>
      </c>
      <c r="N55" s="1"/>
      <c r="O55" s="28"/>
      <c r="P55" s="19" t="s">
        <v>39</v>
      </c>
      <c r="Q55" s="30">
        <f t="shared" si="5"/>
        <v>-2</v>
      </c>
      <c r="R55" s="38"/>
    </row>
    <row r="56" spans="1:18" x14ac:dyDescent="0.3">
      <c r="A56" s="64"/>
      <c r="B56" s="65"/>
      <c r="D56" s="119"/>
      <c r="E56" s="115" t="s">
        <v>16</v>
      </c>
      <c r="F56" s="23"/>
      <c r="G56" s="23"/>
      <c r="H56" s="24" t="e">
        <f t="shared" si="6"/>
        <v>#DIV/0!</v>
      </c>
      <c r="I56" s="33"/>
      <c r="J56" s="21">
        <f t="shared" si="1"/>
        <v>0</v>
      </c>
      <c r="K56" s="24" t="e">
        <f t="shared" si="2"/>
        <v>#DIV/0!</v>
      </c>
      <c r="L56" s="70" t="e">
        <f t="shared" si="3"/>
        <v>#DIV/0!</v>
      </c>
      <c r="M56" s="75" t="e">
        <f t="shared" si="4"/>
        <v>#DIV/0!</v>
      </c>
      <c r="N56" s="1"/>
      <c r="O56" s="28"/>
      <c r="P56" s="19" t="s">
        <v>39</v>
      </c>
      <c r="Q56" s="30">
        <f t="shared" si="5"/>
        <v>-2</v>
      </c>
      <c r="R56" s="38"/>
    </row>
    <row r="57" spans="1:18" x14ac:dyDescent="0.3">
      <c r="A57" s="64"/>
      <c r="B57" s="65"/>
      <c r="D57" s="119"/>
      <c r="E57" s="115" t="s">
        <v>16</v>
      </c>
      <c r="F57" s="23"/>
      <c r="G57" s="23"/>
      <c r="H57" s="24" t="e">
        <f t="shared" si="6"/>
        <v>#DIV/0!</v>
      </c>
      <c r="I57" s="33"/>
      <c r="J57" s="21">
        <f t="shared" si="1"/>
        <v>0</v>
      </c>
      <c r="K57" s="24" t="e">
        <f t="shared" si="2"/>
        <v>#DIV/0!</v>
      </c>
      <c r="L57" s="70" t="e">
        <f t="shared" si="3"/>
        <v>#DIV/0!</v>
      </c>
      <c r="M57" s="75" t="e">
        <f t="shared" si="4"/>
        <v>#DIV/0!</v>
      </c>
      <c r="N57" s="1"/>
      <c r="O57" s="28"/>
      <c r="P57" s="19" t="s">
        <v>39</v>
      </c>
      <c r="Q57" s="30">
        <f t="shared" si="5"/>
        <v>-2</v>
      </c>
      <c r="R57" s="38"/>
    </row>
    <row r="58" spans="1:18" x14ac:dyDescent="0.3">
      <c r="A58" s="64"/>
      <c r="B58" s="65"/>
      <c r="D58" s="119"/>
      <c r="E58" s="115" t="s">
        <v>16</v>
      </c>
      <c r="F58" s="23"/>
      <c r="G58" s="23"/>
      <c r="H58" s="24" t="e">
        <f t="shared" si="6"/>
        <v>#DIV/0!</v>
      </c>
      <c r="I58" s="33"/>
      <c r="J58" s="21">
        <f t="shared" si="1"/>
        <v>0</v>
      </c>
      <c r="K58" s="24" t="e">
        <f t="shared" si="2"/>
        <v>#DIV/0!</v>
      </c>
      <c r="L58" s="70" t="e">
        <f t="shared" si="3"/>
        <v>#DIV/0!</v>
      </c>
      <c r="M58" s="75" t="e">
        <f t="shared" si="4"/>
        <v>#DIV/0!</v>
      </c>
      <c r="N58" s="1"/>
      <c r="O58" s="28"/>
      <c r="P58" s="19" t="s">
        <v>39</v>
      </c>
      <c r="Q58" s="30">
        <f t="shared" si="5"/>
        <v>-2</v>
      </c>
      <c r="R58" s="38"/>
    </row>
    <row r="59" spans="1:18" x14ac:dyDescent="0.3">
      <c r="A59" s="64"/>
      <c r="B59" s="65"/>
      <c r="D59" s="119"/>
      <c r="E59" s="115" t="s">
        <v>16</v>
      </c>
      <c r="F59" s="23"/>
      <c r="G59" s="23"/>
      <c r="H59" s="24" t="e">
        <f t="shared" si="6"/>
        <v>#DIV/0!</v>
      </c>
      <c r="I59" s="33"/>
      <c r="J59" s="21">
        <f t="shared" si="1"/>
        <v>0</v>
      </c>
      <c r="K59" s="24" t="e">
        <f t="shared" si="2"/>
        <v>#DIV/0!</v>
      </c>
      <c r="L59" s="70" t="e">
        <f t="shared" si="3"/>
        <v>#DIV/0!</v>
      </c>
      <c r="M59" s="75" t="e">
        <f t="shared" si="4"/>
        <v>#DIV/0!</v>
      </c>
      <c r="N59" s="1"/>
      <c r="O59" s="28"/>
      <c r="P59" s="19" t="s">
        <v>39</v>
      </c>
      <c r="Q59" s="30">
        <f t="shared" si="5"/>
        <v>-2</v>
      </c>
      <c r="R59" s="38"/>
    </row>
    <row r="60" spans="1:18" x14ac:dyDescent="0.3">
      <c r="A60" s="64"/>
      <c r="B60" s="65"/>
      <c r="D60" s="119"/>
      <c r="E60" s="115" t="s">
        <v>16</v>
      </c>
      <c r="F60" s="23"/>
      <c r="G60" s="23"/>
      <c r="H60" s="24" t="e">
        <f t="shared" si="6"/>
        <v>#DIV/0!</v>
      </c>
      <c r="I60" s="33"/>
      <c r="J60" s="21">
        <f t="shared" si="1"/>
        <v>0</v>
      </c>
      <c r="K60" s="24" t="e">
        <f t="shared" si="2"/>
        <v>#DIV/0!</v>
      </c>
      <c r="L60" s="70" t="e">
        <f t="shared" si="3"/>
        <v>#DIV/0!</v>
      </c>
      <c r="M60" s="75" t="e">
        <f t="shared" si="4"/>
        <v>#DIV/0!</v>
      </c>
      <c r="N60" s="1"/>
      <c r="O60" s="28"/>
      <c r="P60" s="19" t="s">
        <v>39</v>
      </c>
      <c r="Q60" s="30">
        <f t="shared" si="5"/>
        <v>-2</v>
      </c>
      <c r="R60" s="38"/>
    </row>
    <row r="61" spans="1:18" x14ac:dyDescent="0.3">
      <c r="A61" s="64"/>
      <c r="B61" s="65"/>
      <c r="D61" s="119"/>
      <c r="E61" s="115" t="s">
        <v>16</v>
      </c>
      <c r="F61" s="23"/>
      <c r="G61" s="23"/>
      <c r="H61" s="24" t="e">
        <f t="shared" si="6"/>
        <v>#DIV/0!</v>
      </c>
      <c r="I61" s="33"/>
      <c r="J61" s="21">
        <f t="shared" si="1"/>
        <v>0</v>
      </c>
      <c r="K61" s="24" t="e">
        <f t="shared" si="2"/>
        <v>#DIV/0!</v>
      </c>
      <c r="L61" s="70" t="e">
        <f t="shared" si="3"/>
        <v>#DIV/0!</v>
      </c>
      <c r="M61" s="75" t="e">
        <f t="shared" si="4"/>
        <v>#DIV/0!</v>
      </c>
      <c r="N61" s="1"/>
      <c r="O61" s="28"/>
      <c r="P61" s="19" t="s">
        <v>39</v>
      </c>
      <c r="Q61" s="30">
        <f t="shared" si="5"/>
        <v>-2</v>
      </c>
      <c r="R61" s="38"/>
    </row>
    <row r="62" spans="1:18" x14ac:dyDescent="0.3">
      <c r="A62" s="64"/>
      <c r="B62" s="65"/>
      <c r="D62" s="119"/>
      <c r="E62" s="115" t="s">
        <v>16</v>
      </c>
      <c r="F62" s="23"/>
      <c r="G62" s="23"/>
      <c r="H62" s="24" t="e">
        <f t="shared" si="6"/>
        <v>#DIV/0!</v>
      </c>
      <c r="I62" s="33"/>
      <c r="J62" s="21">
        <f t="shared" si="1"/>
        <v>0</v>
      </c>
      <c r="K62" s="24" t="e">
        <f t="shared" si="2"/>
        <v>#DIV/0!</v>
      </c>
      <c r="L62" s="70" t="e">
        <f t="shared" si="3"/>
        <v>#DIV/0!</v>
      </c>
      <c r="M62" s="75" t="e">
        <f t="shared" si="4"/>
        <v>#DIV/0!</v>
      </c>
      <c r="N62" s="1"/>
      <c r="O62" s="28"/>
      <c r="P62" s="19" t="s">
        <v>39</v>
      </c>
      <c r="Q62" s="30">
        <f t="shared" si="5"/>
        <v>-2</v>
      </c>
      <c r="R62" s="38"/>
    </row>
    <row r="63" spans="1:18" x14ac:dyDescent="0.3">
      <c r="A63" s="64"/>
      <c r="B63" s="65"/>
      <c r="D63" s="119"/>
      <c r="E63" s="115" t="s">
        <v>16</v>
      </c>
      <c r="F63" s="23"/>
      <c r="G63" s="23"/>
      <c r="H63" s="24" t="e">
        <f t="shared" si="6"/>
        <v>#DIV/0!</v>
      </c>
      <c r="I63" s="33"/>
      <c r="J63" s="21">
        <f t="shared" si="1"/>
        <v>0</v>
      </c>
      <c r="K63" s="24" t="e">
        <f t="shared" si="2"/>
        <v>#DIV/0!</v>
      </c>
      <c r="L63" s="70" t="e">
        <f t="shared" si="3"/>
        <v>#DIV/0!</v>
      </c>
      <c r="M63" s="75" t="e">
        <f t="shared" si="4"/>
        <v>#DIV/0!</v>
      </c>
      <c r="N63" s="1"/>
      <c r="O63" s="28"/>
      <c r="P63" s="19" t="s">
        <v>39</v>
      </c>
      <c r="Q63" s="30">
        <f t="shared" si="5"/>
        <v>-2</v>
      </c>
      <c r="R63" s="38"/>
    </row>
    <row r="64" spans="1:18" x14ac:dyDescent="0.3">
      <c r="A64" s="64"/>
      <c r="B64" s="65"/>
      <c r="D64" s="119"/>
      <c r="E64" s="115" t="s">
        <v>16</v>
      </c>
      <c r="F64" s="23"/>
      <c r="G64" s="23"/>
      <c r="H64" s="24" t="e">
        <f t="shared" si="6"/>
        <v>#DIV/0!</v>
      </c>
      <c r="I64" s="33"/>
      <c r="J64" s="21">
        <f t="shared" si="1"/>
        <v>0</v>
      </c>
      <c r="K64" s="24" t="e">
        <f t="shared" si="2"/>
        <v>#DIV/0!</v>
      </c>
      <c r="L64" s="70" t="e">
        <f t="shared" si="3"/>
        <v>#DIV/0!</v>
      </c>
      <c r="M64" s="75" t="e">
        <f t="shared" si="4"/>
        <v>#DIV/0!</v>
      </c>
      <c r="N64" s="1"/>
      <c r="O64" s="28"/>
      <c r="P64" s="19" t="s">
        <v>39</v>
      </c>
      <c r="Q64" s="30">
        <f t="shared" si="5"/>
        <v>-2</v>
      </c>
      <c r="R64" s="38"/>
    </row>
    <row r="65" spans="1:18" x14ac:dyDescent="0.3">
      <c r="A65" s="64"/>
      <c r="B65" s="65"/>
      <c r="D65" s="119"/>
      <c r="E65" s="115" t="s">
        <v>16</v>
      </c>
      <c r="F65" s="23"/>
      <c r="G65" s="23"/>
      <c r="H65" s="24" t="e">
        <f t="shared" si="6"/>
        <v>#DIV/0!</v>
      </c>
      <c r="I65" s="33"/>
      <c r="J65" s="21">
        <f t="shared" si="1"/>
        <v>0</v>
      </c>
      <c r="K65" s="24" t="e">
        <f t="shared" si="2"/>
        <v>#DIV/0!</v>
      </c>
      <c r="L65" s="70" t="e">
        <f t="shared" si="3"/>
        <v>#DIV/0!</v>
      </c>
      <c r="M65" s="75" t="e">
        <f t="shared" si="4"/>
        <v>#DIV/0!</v>
      </c>
      <c r="N65" s="1"/>
      <c r="O65" s="28"/>
      <c r="P65" s="19" t="s">
        <v>39</v>
      </c>
      <c r="Q65" s="30">
        <f t="shared" si="5"/>
        <v>-2</v>
      </c>
      <c r="R65" s="38"/>
    </row>
    <row r="66" spans="1:18" x14ac:dyDescent="0.3">
      <c r="A66" s="64"/>
      <c r="B66" s="65"/>
      <c r="D66" s="119"/>
      <c r="E66" s="115" t="s">
        <v>16</v>
      </c>
      <c r="F66" s="23"/>
      <c r="G66" s="23"/>
      <c r="H66" s="24" t="e">
        <f t="shared" si="6"/>
        <v>#DIV/0!</v>
      </c>
      <c r="I66" s="33"/>
      <c r="J66" s="21">
        <f t="shared" si="1"/>
        <v>0</v>
      </c>
      <c r="K66" s="24" t="e">
        <f t="shared" si="2"/>
        <v>#DIV/0!</v>
      </c>
      <c r="L66" s="70" t="e">
        <f t="shared" si="3"/>
        <v>#DIV/0!</v>
      </c>
      <c r="M66" s="75" t="e">
        <f t="shared" si="4"/>
        <v>#DIV/0!</v>
      </c>
      <c r="N66" s="1"/>
      <c r="O66" s="28"/>
      <c r="P66" s="19" t="s">
        <v>39</v>
      </c>
      <c r="Q66" s="30">
        <f t="shared" si="5"/>
        <v>-2</v>
      </c>
      <c r="R66" s="38"/>
    </row>
    <row r="67" spans="1:18" x14ac:dyDescent="0.3">
      <c r="A67" s="64"/>
      <c r="B67" s="65"/>
      <c r="D67" s="119"/>
      <c r="E67" s="115" t="s">
        <v>16</v>
      </c>
      <c r="F67" s="23"/>
      <c r="G67" s="23"/>
      <c r="H67" s="24" t="e">
        <f t="shared" si="6"/>
        <v>#DIV/0!</v>
      </c>
      <c r="I67" s="33"/>
      <c r="J67" s="21">
        <f t="shared" ref="J67:J71" si="7">F67*I67+IF(N67="Фрибет",(F67*I67-F67)-F67*I67)</f>
        <v>0</v>
      </c>
      <c r="K67" s="24" t="e">
        <f t="shared" ref="K67:K71" si="8">((J67*100)/G67)</f>
        <v>#DIV/0!</v>
      </c>
      <c r="L67" s="70" t="e">
        <f t="shared" ref="L67:L71" si="9">1-M67</f>
        <v>#DIV/0!</v>
      </c>
      <c r="M67" s="75" t="e">
        <f t="shared" ref="M67:M71" si="10">1/I67</f>
        <v>#DIV/0!</v>
      </c>
      <c r="N67" s="1"/>
      <c r="O67" s="28"/>
      <c r="P67" s="19" t="s">
        <v>39</v>
      </c>
      <c r="Q67" s="30">
        <f t="shared" si="5"/>
        <v>-2</v>
      </c>
      <c r="R67" s="38"/>
    </row>
    <row r="68" spans="1:18" x14ac:dyDescent="0.3">
      <c r="A68" s="64"/>
      <c r="B68" s="65"/>
      <c r="D68" s="119"/>
      <c r="E68" s="115" t="s">
        <v>16</v>
      </c>
      <c r="F68" s="23"/>
      <c r="G68" s="23"/>
      <c r="H68" s="24" t="e">
        <f t="shared" si="6"/>
        <v>#DIV/0!</v>
      </c>
      <c r="I68" s="33"/>
      <c r="J68" s="21">
        <f t="shared" si="7"/>
        <v>0</v>
      </c>
      <c r="K68" s="24" t="e">
        <f t="shared" si="8"/>
        <v>#DIV/0!</v>
      </c>
      <c r="L68" s="70" t="e">
        <f t="shared" si="9"/>
        <v>#DIV/0!</v>
      </c>
      <c r="M68" s="75" t="e">
        <f t="shared" si="10"/>
        <v>#DIV/0!</v>
      </c>
      <c r="N68" s="1"/>
      <c r="O68" s="28"/>
      <c r="P68" s="19" t="s">
        <v>39</v>
      </c>
      <c r="Q68" s="30">
        <f t="shared" ref="Q68:Q71" si="11">IF(P68="Победа",1)+IF(P68="Поражение",0)+IF(P68="Не ставил",-2)</f>
        <v>-2</v>
      </c>
      <c r="R68" s="38"/>
    </row>
    <row r="69" spans="1:18" x14ac:dyDescent="0.3">
      <c r="A69" s="64"/>
      <c r="B69" s="65"/>
      <c r="D69" s="119"/>
      <c r="E69" s="115" t="s">
        <v>16</v>
      </c>
      <c r="F69" s="23"/>
      <c r="G69" s="23"/>
      <c r="H69" s="24" t="e">
        <f t="shared" si="6"/>
        <v>#DIV/0!</v>
      </c>
      <c r="I69" s="33"/>
      <c r="J69" s="21">
        <f t="shared" si="7"/>
        <v>0</v>
      </c>
      <c r="K69" s="24" t="e">
        <f t="shared" si="8"/>
        <v>#DIV/0!</v>
      </c>
      <c r="L69" s="70" t="e">
        <f t="shared" si="9"/>
        <v>#DIV/0!</v>
      </c>
      <c r="M69" s="75" t="e">
        <f t="shared" si="10"/>
        <v>#DIV/0!</v>
      </c>
      <c r="N69" s="1"/>
      <c r="O69" s="28"/>
      <c r="P69" s="19" t="s">
        <v>39</v>
      </c>
      <c r="Q69" s="30">
        <f t="shared" si="11"/>
        <v>-2</v>
      </c>
      <c r="R69" s="38"/>
    </row>
    <row r="70" spans="1:18" x14ac:dyDescent="0.3">
      <c r="A70" s="64"/>
      <c r="B70" s="65"/>
      <c r="D70" s="119"/>
      <c r="E70" s="115" t="s">
        <v>16</v>
      </c>
      <c r="F70" s="23"/>
      <c r="G70" s="23"/>
      <c r="H70" s="24" t="e">
        <f t="shared" si="6"/>
        <v>#DIV/0!</v>
      </c>
      <c r="I70" s="33"/>
      <c r="J70" s="21">
        <f t="shared" si="7"/>
        <v>0</v>
      </c>
      <c r="K70" s="24" t="e">
        <f t="shared" si="8"/>
        <v>#DIV/0!</v>
      </c>
      <c r="L70" s="70" t="e">
        <f t="shared" si="9"/>
        <v>#DIV/0!</v>
      </c>
      <c r="M70" s="75" t="e">
        <f t="shared" si="10"/>
        <v>#DIV/0!</v>
      </c>
      <c r="N70" s="1"/>
      <c r="O70" s="28"/>
      <c r="P70" s="19" t="s">
        <v>39</v>
      </c>
      <c r="Q70" s="30">
        <f t="shared" si="11"/>
        <v>-2</v>
      </c>
      <c r="R70" s="38"/>
    </row>
    <row r="71" spans="1:18" ht="15" thickBot="1" x14ac:dyDescent="0.35">
      <c r="A71" s="56"/>
      <c r="B71" s="66"/>
      <c r="D71" s="119"/>
      <c r="E71" s="115" t="s">
        <v>16</v>
      </c>
      <c r="F71" s="23"/>
      <c r="G71" s="23"/>
      <c r="H71" s="24" t="e">
        <f t="shared" si="6"/>
        <v>#DIV/0!</v>
      </c>
      <c r="I71" s="33"/>
      <c r="J71" s="21">
        <f t="shared" si="7"/>
        <v>0</v>
      </c>
      <c r="K71" s="24" t="e">
        <f t="shared" si="8"/>
        <v>#DIV/0!</v>
      </c>
      <c r="L71" s="70" t="e">
        <f t="shared" si="9"/>
        <v>#DIV/0!</v>
      </c>
      <c r="M71" s="75" t="e">
        <f t="shared" si="10"/>
        <v>#DIV/0!</v>
      </c>
      <c r="N71" s="1"/>
      <c r="O71" s="28"/>
      <c r="P71" s="19" t="s">
        <v>39</v>
      </c>
      <c r="Q71" s="30">
        <f t="shared" si="11"/>
        <v>-2</v>
      </c>
      <c r="R71" s="38"/>
    </row>
    <row r="72" spans="1:18" x14ac:dyDescent="0.3">
      <c r="E72"/>
      <c r="F72"/>
      <c r="G72"/>
      <c r="H72"/>
      <c r="I72"/>
      <c r="J72"/>
      <c r="K72"/>
      <c r="L72" s="73"/>
      <c r="M72" s="78"/>
      <c r="O72"/>
      <c r="P72"/>
      <c r="Q72"/>
      <c r="R72"/>
    </row>
    <row r="73" spans="1:18" x14ac:dyDescent="0.3">
      <c r="E73"/>
      <c r="F73"/>
      <c r="G73"/>
      <c r="H73"/>
      <c r="I73"/>
      <c r="J73"/>
      <c r="K73"/>
      <c r="L73" s="73"/>
      <c r="M73" s="78"/>
      <c r="O73"/>
      <c r="P73"/>
      <c r="Q73"/>
      <c r="R73"/>
    </row>
    <row r="74" spans="1:18" x14ac:dyDescent="0.3">
      <c r="E74"/>
      <c r="F74"/>
      <c r="G74"/>
      <c r="H74"/>
      <c r="I74"/>
      <c r="J74"/>
      <c r="K74"/>
      <c r="L74" s="73"/>
      <c r="M74" s="78"/>
      <c r="O74"/>
      <c r="P74"/>
      <c r="Q74"/>
      <c r="R74"/>
    </row>
    <row r="75" spans="1:18" x14ac:dyDescent="0.3">
      <c r="E75"/>
      <c r="F75"/>
      <c r="G75"/>
      <c r="H75"/>
      <c r="I75"/>
      <c r="J75"/>
      <c r="K75"/>
      <c r="L75" s="73"/>
      <c r="M75" s="78"/>
      <c r="O75"/>
      <c r="P75"/>
      <c r="Q75"/>
      <c r="R75"/>
    </row>
    <row r="76" spans="1:18" x14ac:dyDescent="0.3">
      <c r="E76"/>
      <c r="F76"/>
      <c r="G76"/>
      <c r="H76"/>
      <c r="I76"/>
      <c r="J76"/>
      <c r="K76"/>
      <c r="L76" s="73"/>
      <c r="M76" s="78"/>
      <c r="O76"/>
      <c r="P76"/>
      <c r="Q76"/>
      <c r="R76"/>
    </row>
    <row r="77" spans="1:18" x14ac:dyDescent="0.3">
      <c r="E77"/>
      <c r="F77"/>
      <c r="G77"/>
      <c r="H77"/>
      <c r="I77"/>
      <c r="J77"/>
      <c r="K77"/>
      <c r="L77" s="73"/>
      <c r="M77" s="78"/>
      <c r="O77"/>
      <c r="P77"/>
      <c r="Q77"/>
      <c r="R77"/>
    </row>
    <row r="78" spans="1:18" x14ac:dyDescent="0.3">
      <c r="E78"/>
      <c r="F78"/>
      <c r="G78"/>
      <c r="H78"/>
      <c r="I78"/>
      <c r="J78"/>
      <c r="K78"/>
      <c r="L78" s="73"/>
      <c r="M78" s="78"/>
      <c r="O78"/>
      <c r="P78"/>
      <c r="Q78"/>
      <c r="R78"/>
    </row>
    <row r="79" spans="1:18" x14ac:dyDescent="0.3">
      <c r="E79"/>
      <c r="F79"/>
      <c r="G79"/>
      <c r="H79"/>
      <c r="I79"/>
      <c r="J79"/>
      <c r="K79"/>
      <c r="L79" s="73"/>
      <c r="M79" s="78"/>
      <c r="O79"/>
      <c r="P79"/>
      <c r="Q79"/>
      <c r="R79"/>
    </row>
    <row r="80" spans="1:18" x14ac:dyDescent="0.3">
      <c r="E80"/>
      <c r="F80"/>
      <c r="G80"/>
      <c r="H80"/>
      <c r="I80"/>
      <c r="J80"/>
      <c r="K80"/>
      <c r="L80" s="73"/>
      <c r="M80" s="78"/>
      <c r="O80"/>
      <c r="P80"/>
      <c r="Q80"/>
      <c r="R80"/>
    </row>
    <row r="81" spans="12:13" customFormat="1" x14ac:dyDescent="0.3">
      <c r="L81" s="73"/>
      <c r="M81" s="78"/>
    </row>
    <row r="82" spans="12:13" customFormat="1" x14ac:dyDescent="0.3">
      <c r="L82" s="73"/>
      <c r="M82" s="78"/>
    </row>
    <row r="83" spans="12:13" customFormat="1" x14ac:dyDescent="0.3">
      <c r="L83" s="73"/>
      <c r="M83" s="78"/>
    </row>
    <row r="84" spans="12:13" customFormat="1" x14ac:dyDescent="0.3">
      <c r="L84" s="73"/>
      <c r="M84" s="78"/>
    </row>
    <row r="85" spans="12:13" customFormat="1" x14ac:dyDescent="0.3">
      <c r="L85" s="73"/>
      <c r="M85" s="78"/>
    </row>
    <row r="86" spans="12:13" customFormat="1" x14ac:dyDescent="0.3">
      <c r="L86" s="73"/>
      <c r="M86" s="78"/>
    </row>
    <row r="87" spans="12:13" customFormat="1" x14ac:dyDescent="0.3">
      <c r="L87" s="73"/>
      <c r="M87" s="78"/>
    </row>
    <row r="88" spans="12:13" customFormat="1" x14ac:dyDescent="0.3">
      <c r="L88" s="73"/>
      <c r="M88" s="78"/>
    </row>
    <row r="89" spans="12:13" customFormat="1" x14ac:dyDescent="0.3">
      <c r="L89" s="73"/>
      <c r="M89" s="78"/>
    </row>
    <row r="90" spans="12:13" customFormat="1" x14ac:dyDescent="0.3">
      <c r="L90" s="73"/>
      <c r="M90" s="78"/>
    </row>
    <row r="91" spans="12:13" customFormat="1" x14ac:dyDescent="0.3">
      <c r="L91" s="73"/>
      <c r="M91" s="78"/>
    </row>
    <row r="92" spans="12:13" customFormat="1" x14ac:dyDescent="0.3">
      <c r="L92" s="73"/>
      <c r="M92" s="78"/>
    </row>
    <row r="93" spans="12:13" customFormat="1" x14ac:dyDescent="0.3">
      <c r="L93" s="73"/>
      <c r="M93" s="78"/>
    </row>
    <row r="94" spans="12:13" customFormat="1" x14ac:dyDescent="0.3">
      <c r="L94" s="73"/>
      <c r="M94" s="78"/>
    </row>
    <row r="95" spans="12:13" customFormat="1" x14ac:dyDescent="0.3">
      <c r="L95" s="73"/>
      <c r="M95" s="78"/>
    </row>
    <row r="96" spans="12:13" customFormat="1" x14ac:dyDescent="0.3">
      <c r="L96" s="73"/>
      <c r="M96" s="78"/>
    </row>
    <row r="97" spans="12:13" customFormat="1" x14ac:dyDescent="0.3">
      <c r="L97" s="73"/>
      <c r="M97" s="78"/>
    </row>
    <row r="98" spans="12:13" customFormat="1" x14ac:dyDescent="0.3">
      <c r="L98" s="73"/>
      <c r="M98" s="78"/>
    </row>
    <row r="99" spans="12:13" customFormat="1" x14ac:dyDescent="0.3">
      <c r="L99" s="73"/>
      <c r="M99" s="78"/>
    </row>
    <row r="100" spans="12:13" customFormat="1" x14ac:dyDescent="0.3">
      <c r="L100" s="73"/>
      <c r="M100" s="78"/>
    </row>
    <row r="101" spans="12:13" customFormat="1" x14ac:dyDescent="0.3">
      <c r="L101" s="73"/>
      <c r="M101" s="78"/>
    </row>
    <row r="102" spans="12:13" customFormat="1" x14ac:dyDescent="0.3">
      <c r="L102" s="73"/>
      <c r="M102" s="78"/>
    </row>
    <row r="103" spans="12:13" customFormat="1" x14ac:dyDescent="0.3">
      <c r="L103" s="73"/>
      <c r="M103" s="78"/>
    </row>
    <row r="104" spans="12:13" customFormat="1" x14ac:dyDescent="0.3">
      <c r="L104" s="73"/>
      <c r="M104" s="78"/>
    </row>
    <row r="105" spans="12:13" customFormat="1" x14ac:dyDescent="0.3">
      <c r="L105" s="73"/>
      <c r="M105" s="78"/>
    </row>
    <row r="106" spans="12:13" customFormat="1" x14ac:dyDescent="0.3">
      <c r="L106" s="73"/>
      <c r="M106" s="78"/>
    </row>
    <row r="107" spans="12:13" customFormat="1" x14ac:dyDescent="0.3">
      <c r="L107" s="73"/>
      <c r="M107" s="78"/>
    </row>
    <row r="108" spans="12:13" customFormat="1" x14ac:dyDescent="0.3">
      <c r="L108" s="73"/>
      <c r="M108" s="78"/>
    </row>
    <row r="109" spans="12:13" customFormat="1" x14ac:dyDescent="0.3">
      <c r="L109" s="73"/>
      <c r="M109" s="78"/>
    </row>
    <row r="110" spans="12:13" customFormat="1" x14ac:dyDescent="0.3">
      <c r="L110" s="73"/>
      <c r="M110" s="78"/>
    </row>
    <row r="111" spans="12:13" customFormat="1" x14ac:dyDescent="0.3">
      <c r="L111" s="73"/>
      <c r="M111" s="78"/>
    </row>
    <row r="112" spans="12:13" customFormat="1" x14ac:dyDescent="0.3">
      <c r="L112" s="73"/>
      <c r="M112" s="78"/>
    </row>
    <row r="113" spans="12:13" customFormat="1" x14ac:dyDescent="0.3">
      <c r="L113" s="73"/>
      <c r="M113" s="78"/>
    </row>
    <row r="114" spans="12:13" customFormat="1" x14ac:dyDescent="0.3">
      <c r="L114" s="73"/>
      <c r="M114" s="78"/>
    </row>
    <row r="115" spans="12:13" customFormat="1" x14ac:dyDescent="0.3">
      <c r="L115" s="73"/>
      <c r="M115" s="78"/>
    </row>
    <row r="116" spans="12:13" customFormat="1" x14ac:dyDescent="0.3">
      <c r="L116" s="73"/>
      <c r="M116" s="78"/>
    </row>
    <row r="117" spans="12:13" customFormat="1" x14ac:dyDescent="0.3">
      <c r="L117" s="73"/>
      <c r="M117" s="78"/>
    </row>
    <row r="118" spans="12:13" customFormat="1" x14ac:dyDescent="0.3">
      <c r="L118" s="73"/>
      <c r="M118" s="78"/>
    </row>
    <row r="119" spans="12:13" customFormat="1" x14ac:dyDescent="0.3">
      <c r="L119" s="73"/>
      <c r="M119" s="78"/>
    </row>
    <row r="120" spans="12:13" customFormat="1" x14ac:dyDescent="0.3">
      <c r="L120" s="73"/>
      <c r="M120" s="78"/>
    </row>
    <row r="121" spans="12:13" customFormat="1" x14ac:dyDescent="0.3">
      <c r="L121" s="73"/>
      <c r="M121" s="78"/>
    </row>
    <row r="122" spans="12:13" customFormat="1" x14ac:dyDescent="0.3">
      <c r="L122" s="73"/>
      <c r="M122" s="78"/>
    </row>
    <row r="123" spans="12:13" customFormat="1" x14ac:dyDescent="0.3">
      <c r="L123" s="73"/>
      <c r="M123" s="78"/>
    </row>
    <row r="124" spans="12:13" customFormat="1" x14ac:dyDescent="0.3">
      <c r="L124" s="73"/>
      <c r="M124" s="78"/>
    </row>
    <row r="125" spans="12:13" customFormat="1" x14ac:dyDescent="0.3">
      <c r="L125" s="73"/>
      <c r="M125" s="78"/>
    </row>
    <row r="126" spans="12:13" customFormat="1" x14ac:dyDescent="0.3">
      <c r="L126" s="73"/>
      <c r="M126" s="78"/>
    </row>
    <row r="127" spans="12:13" customFormat="1" x14ac:dyDescent="0.3">
      <c r="L127" s="73"/>
      <c r="M127" s="78"/>
    </row>
    <row r="128" spans="12:13" customFormat="1" x14ac:dyDescent="0.3">
      <c r="L128" s="73"/>
      <c r="M128" s="78"/>
    </row>
    <row r="129" spans="12:13" customFormat="1" x14ac:dyDescent="0.3">
      <c r="L129" s="73"/>
      <c r="M129" s="78"/>
    </row>
    <row r="130" spans="12:13" customFormat="1" x14ac:dyDescent="0.3">
      <c r="L130" s="73"/>
      <c r="M130" s="78"/>
    </row>
    <row r="131" spans="12:13" customFormat="1" x14ac:dyDescent="0.3">
      <c r="L131" s="73"/>
      <c r="M131" s="78"/>
    </row>
    <row r="132" spans="12:13" customFormat="1" x14ac:dyDescent="0.3">
      <c r="L132" s="73"/>
      <c r="M132" s="78"/>
    </row>
    <row r="133" spans="12:13" customFormat="1" x14ac:dyDescent="0.3">
      <c r="L133" s="73"/>
      <c r="M133" s="78"/>
    </row>
    <row r="134" spans="12:13" customFormat="1" x14ac:dyDescent="0.3">
      <c r="L134" s="73"/>
      <c r="M134" s="78"/>
    </row>
    <row r="135" spans="12:13" customFormat="1" x14ac:dyDescent="0.3">
      <c r="L135" s="73"/>
      <c r="M135" s="78"/>
    </row>
    <row r="136" spans="12:13" customFormat="1" x14ac:dyDescent="0.3">
      <c r="L136" s="73"/>
      <c r="M136" s="78"/>
    </row>
    <row r="137" spans="12:13" customFormat="1" x14ac:dyDescent="0.3">
      <c r="L137" s="73"/>
      <c r="M137" s="78"/>
    </row>
    <row r="138" spans="12:13" customFormat="1" x14ac:dyDescent="0.3">
      <c r="L138" s="73"/>
      <c r="M138" s="78"/>
    </row>
    <row r="139" spans="12:13" customFormat="1" x14ac:dyDescent="0.3">
      <c r="L139" s="73"/>
      <c r="M139" s="78"/>
    </row>
    <row r="140" spans="12:13" customFormat="1" x14ac:dyDescent="0.3">
      <c r="L140" s="73"/>
      <c r="M140" s="78"/>
    </row>
    <row r="141" spans="12:13" customFormat="1" x14ac:dyDescent="0.3">
      <c r="L141" s="73"/>
      <c r="M141" s="78"/>
    </row>
    <row r="142" spans="12:13" customFormat="1" x14ac:dyDescent="0.3">
      <c r="L142" s="73"/>
      <c r="M142" s="78"/>
    </row>
    <row r="143" spans="12:13" customFormat="1" x14ac:dyDescent="0.3">
      <c r="L143" s="73"/>
      <c r="M143" s="78"/>
    </row>
    <row r="144" spans="12:13" customFormat="1" x14ac:dyDescent="0.3">
      <c r="L144" s="73"/>
      <c r="M144" s="78"/>
    </row>
    <row r="145" spans="12:13" customFormat="1" x14ac:dyDescent="0.3">
      <c r="L145" s="73"/>
      <c r="M145" s="78"/>
    </row>
    <row r="146" spans="12:13" customFormat="1" x14ac:dyDescent="0.3">
      <c r="L146" s="73"/>
      <c r="M146" s="78"/>
    </row>
    <row r="147" spans="12:13" customFormat="1" x14ac:dyDescent="0.3">
      <c r="L147" s="73"/>
      <c r="M147" s="78"/>
    </row>
    <row r="148" spans="12:13" customFormat="1" x14ac:dyDescent="0.3">
      <c r="L148" s="73"/>
      <c r="M148" s="78"/>
    </row>
    <row r="149" spans="12:13" customFormat="1" x14ac:dyDescent="0.3">
      <c r="L149" s="73"/>
      <c r="M149" s="78"/>
    </row>
    <row r="150" spans="12:13" customFormat="1" x14ac:dyDescent="0.3">
      <c r="L150" s="73"/>
      <c r="M150" s="78"/>
    </row>
    <row r="151" spans="12:13" customFormat="1" x14ac:dyDescent="0.3">
      <c r="L151" s="73"/>
      <c r="M151" s="78"/>
    </row>
    <row r="152" spans="12:13" customFormat="1" x14ac:dyDescent="0.3">
      <c r="L152" s="73"/>
      <c r="M152" s="78"/>
    </row>
    <row r="153" spans="12:13" customFormat="1" x14ac:dyDescent="0.3">
      <c r="L153" s="73"/>
      <c r="M153" s="78"/>
    </row>
    <row r="154" spans="12:13" customFormat="1" x14ac:dyDescent="0.3">
      <c r="L154" s="73"/>
      <c r="M154" s="78"/>
    </row>
    <row r="155" spans="12:13" customFormat="1" x14ac:dyDescent="0.3">
      <c r="L155" s="73"/>
      <c r="M155" s="78"/>
    </row>
    <row r="156" spans="12:13" customFormat="1" x14ac:dyDescent="0.3">
      <c r="L156" s="73"/>
      <c r="M156" s="78"/>
    </row>
    <row r="157" spans="12:13" customFormat="1" x14ac:dyDescent="0.3">
      <c r="L157" s="73"/>
      <c r="M157" s="78"/>
    </row>
    <row r="158" spans="12:13" customFormat="1" x14ac:dyDescent="0.3">
      <c r="L158" s="73"/>
      <c r="M158" s="78"/>
    </row>
    <row r="159" spans="12:13" customFormat="1" x14ac:dyDescent="0.3">
      <c r="L159" s="73"/>
      <c r="M159" s="78"/>
    </row>
    <row r="160" spans="12:13" customFormat="1" x14ac:dyDescent="0.3">
      <c r="L160" s="73"/>
      <c r="M160" s="78"/>
    </row>
    <row r="161" spans="12:13" customFormat="1" x14ac:dyDescent="0.3">
      <c r="L161" s="73"/>
      <c r="M161" s="78"/>
    </row>
    <row r="162" spans="12:13" customFormat="1" x14ac:dyDescent="0.3">
      <c r="L162" s="73"/>
      <c r="M162" s="78"/>
    </row>
    <row r="163" spans="12:13" customFormat="1" x14ac:dyDescent="0.3">
      <c r="L163" s="73"/>
      <c r="M163" s="78"/>
    </row>
    <row r="164" spans="12:13" customFormat="1" x14ac:dyDescent="0.3">
      <c r="L164" s="73"/>
      <c r="M164" s="78"/>
    </row>
    <row r="165" spans="12:13" customFormat="1" x14ac:dyDescent="0.3">
      <c r="L165" s="73"/>
      <c r="M165" s="78"/>
    </row>
    <row r="166" spans="12:13" customFormat="1" x14ac:dyDescent="0.3">
      <c r="L166" s="73"/>
      <c r="M166" s="78"/>
    </row>
    <row r="167" spans="12:13" customFormat="1" x14ac:dyDescent="0.3">
      <c r="L167" s="73"/>
      <c r="M167" s="78"/>
    </row>
    <row r="168" spans="12:13" customFormat="1" x14ac:dyDescent="0.3">
      <c r="L168" s="73"/>
      <c r="M168" s="78"/>
    </row>
    <row r="169" spans="12:13" customFormat="1" x14ac:dyDescent="0.3">
      <c r="L169" s="73"/>
      <c r="M169" s="78"/>
    </row>
    <row r="170" spans="12:13" customFormat="1" x14ac:dyDescent="0.3">
      <c r="L170" s="73"/>
      <c r="M170" s="78"/>
    </row>
    <row r="171" spans="12:13" customFormat="1" x14ac:dyDescent="0.3">
      <c r="L171" s="73"/>
      <c r="M171" s="78"/>
    </row>
    <row r="172" spans="12:13" customFormat="1" x14ac:dyDescent="0.3">
      <c r="L172" s="73"/>
      <c r="M172" s="78"/>
    </row>
    <row r="173" spans="12:13" customFormat="1" x14ac:dyDescent="0.3">
      <c r="L173" s="73"/>
      <c r="M173" s="78"/>
    </row>
    <row r="174" spans="12:13" customFormat="1" x14ac:dyDescent="0.3">
      <c r="L174" s="73"/>
      <c r="M174" s="78"/>
    </row>
    <row r="175" spans="12:13" customFormat="1" x14ac:dyDescent="0.3">
      <c r="L175" s="73"/>
      <c r="M175" s="78"/>
    </row>
    <row r="176" spans="12:13" customFormat="1" x14ac:dyDescent="0.3">
      <c r="L176" s="73"/>
      <c r="M176" s="78"/>
    </row>
    <row r="177" spans="12:13" customFormat="1" x14ac:dyDescent="0.3">
      <c r="L177" s="73"/>
      <c r="M177" s="78"/>
    </row>
    <row r="178" spans="12:13" customFormat="1" x14ac:dyDescent="0.3">
      <c r="L178" s="73"/>
      <c r="M178" s="78"/>
    </row>
    <row r="179" spans="12:13" customFormat="1" x14ac:dyDescent="0.3">
      <c r="L179" s="73"/>
      <c r="M179" s="78"/>
    </row>
    <row r="180" spans="12:13" customFormat="1" x14ac:dyDescent="0.3">
      <c r="L180" s="73"/>
      <c r="M180" s="78"/>
    </row>
    <row r="181" spans="12:13" customFormat="1" x14ac:dyDescent="0.3">
      <c r="L181" s="73"/>
      <c r="M181" s="78"/>
    </row>
    <row r="182" spans="12:13" customFormat="1" x14ac:dyDescent="0.3">
      <c r="L182" s="73"/>
      <c r="M182" s="78"/>
    </row>
    <row r="183" spans="12:13" customFormat="1" x14ac:dyDescent="0.3">
      <c r="L183" s="73"/>
      <c r="M183" s="78"/>
    </row>
    <row r="184" spans="12:13" customFormat="1" x14ac:dyDescent="0.3">
      <c r="L184" s="73"/>
      <c r="M184" s="78"/>
    </row>
    <row r="185" spans="12:13" customFormat="1" x14ac:dyDescent="0.3">
      <c r="L185" s="73"/>
      <c r="M185" s="78"/>
    </row>
    <row r="186" spans="12:13" customFormat="1" x14ac:dyDescent="0.3">
      <c r="L186" s="73"/>
      <c r="M186" s="78"/>
    </row>
    <row r="187" spans="12:13" customFormat="1" x14ac:dyDescent="0.3">
      <c r="L187" s="73"/>
      <c r="M187" s="78"/>
    </row>
    <row r="188" spans="12:13" customFormat="1" x14ac:dyDescent="0.3">
      <c r="L188" s="73"/>
      <c r="M188" s="78"/>
    </row>
    <row r="189" spans="12:13" customFormat="1" x14ac:dyDescent="0.3">
      <c r="L189" s="73"/>
      <c r="M189" s="78"/>
    </row>
    <row r="190" spans="12:13" customFormat="1" x14ac:dyDescent="0.3">
      <c r="L190" s="73"/>
      <c r="M190" s="78"/>
    </row>
    <row r="191" spans="12:13" customFormat="1" x14ac:dyDescent="0.3">
      <c r="L191" s="73"/>
      <c r="M191" s="78"/>
    </row>
    <row r="192" spans="12:13" customFormat="1" x14ac:dyDescent="0.3">
      <c r="L192" s="73"/>
      <c r="M192" s="78"/>
    </row>
    <row r="193" spans="12:13" customFormat="1" x14ac:dyDescent="0.3">
      <c r="L193" s="73"/>
      <c r="M193" s="78"/>
    </row>
    <row r="194" spans="12:13" customFormat="1" x14ac:dyDescent="0.3">
      <c r="L194" s="73"/>
      <c r="M194" s="78"/>
    </row>
    <row r="195" spans="12:13" customFormat="1" x14ac:dyDescent="0.3">
      <c r="L195" s="73"/>
      <c r="M195" s="78"/>
    </row>
    <row r="196" spans="12:13" customFormat="1" x14ac:dyDescent="0.3">
      <c r="L196" s="73"/>
      <c r="M196" s="78"/>
    </row>
    <row r="197" spans="12:13" customFormat="1" x14ac:dyDescent="0.3">
      <c r="L197" s="73"/>
      <c r="M197" s="78"/>
    </row>
    <row r="198" spans="12:13" customFormat="1" x14ac:dyDescent="0.3">
      <c r="L198" s="73"/>
      <c r="M198" s="78"/>
    </row>
    <row r="199" spans="12:13" customFormat="1" x14ac:dyDescent="0.3">
      <c r="L199" s="73"/>
      <c r="M199" s="78"/>
    </row>
    <row r="200" spans="12:13" customFormat="1" x14ac:dyDescent="0.3">
      <c r="L200" s="73"/>
      <c r="M200" s="78"/>
    </row>
    <row r="201" spans="12:13" customFormat="1" x14ac:dyDescent="0.3">
      <c r="L201" s="73"/>
      <c r="M201" s="78"/>
    </row>
  </sheetData>
  <mergeCells count="41">
    <mergeCell ref="AL27:AM27"/>
    <mergeCell ref="AL28:AM28"/>
    <mergeCell ref="AF2:AF3"/>
    <mergeCell ref="AG2:AG3"/>
    <mergeCell ref="AH2:AH3"/>
    <mergeCell ref="AI2:AI3"/>
    <mergeCell ref="AK2:AL3"/>
    <mergeCell ref="AB4:AC4"/>
    <mergeCell ref="AD4:AE4"/>
    <mergeCell ref="Z2:Z3"/>
    <mergeCell ref="AA2:AA3"/>
    <mergeCell ref="AB2:AC3"/>
    <mergeCell ref="AD2:AE3"/>
    <mergeCell ref="AK1:AX1"/>
    <mergeCell ref="AU2:AU3"/>
    <mergeCell ref="AV2:AV3"/>
    <mergeCell ref="AW2:AW3"/>
    <mergeCell ref="AX2:AX3"/>
    <mergeCell ref="AS2:AT3"/>
    <mergeCell ref="AQ4:AR4"/>
    <mergeCell ref="AS4:AT4"/>
    <mergeCell ref="AK4:AL4"/>
    <mergeCell ref="AM2:AN3"/>
    <mergeCell ref="AO2:AP3"/>
    <mergeCell ref="AQ2:AR3"/>
    <mergeCell ref="AO21:AS21"/>
    <mergeCell ref="Z1:AH1"/>
    <mergeCell ref="AO11:AV11"/>
    <mergeCell ref="AO12:AQ12"/>
    <mergeCell ref="AT12:AU12"/>
    <mergeCell ref="AO13:AQ13"/>
    <mergeCell ref="AT13:AU13"/>
    <mergeCell ref="AO9:AP9"/>
    <mergeCell ref="AQ9:AR9"/>
    <mergeCell ref="AS9:AT9"/>
    <mergeCell ref="AO8:AP8"/>
    <mergeCell ref="AQ8:AR8"/>
    <mergeCell ref="AS8:AT8"/>
    <mergeCell ref="AO7:AT7"/>
    <mergeCell ref="AM4:AN4"/>
    <mergeCell ref="AO4:AP4"/>
  </mergeCells>
  <conditionalFormatting sqref="L2:L71">
    <cfRule type="cellIs" dxfId="72" priority="8" operator="greaterThanOrEqual">
      <formula>95%</formula>
    </cfRule>
    <cfRule type="cellIs" dxfId="71" priority="9" operator="greaterThanOrEqual">
      <formula>90%</formula>
    </cfRule>
    <cfRule type="cellIs" dxfId="70" priority="11" operator="greaterThanOrEqual">
      <formula>85%</formula>
    </cfRule>
  </conditionalFormatting>
  <conditionalFormatting sqref="E2:R71">
    <cfRule type="expression" dxfId="69" priority="5">
      <formula>$Q2:$Q26=0</formula>
    </cfRule>
    <cfRule type="expression" dxfId="68" priority="6">
      <formula>$Q2:$Q26=1</formula>
    </cfRule>
  </conditionalFormatting>
  <conditionalFormatting sqref="M2:M71">
    <cfRule type="cellIs" dxfId="67" priority="7" operator="greaterThanOrEqual">
      <formula>95%</formula>
    </cfRule>
    <cfRule type="cellIs" dxfId="66" priority="10" operator="greaterThanOrEqual">
      <formula>90%</formula>
    </cfRule>
    <cfRule type="cellIs" dxfId="65" priority="12" operator="greaterThanOrEqual">
      <formula>85%</formula>
    </cfRule>
  </conditionalFormatting>
  <conditionalFormatting sqref="U2">
    <cfRule type="iconSet" priority="4">
      <iconSet iconSet="3Arrows">
        <cfvo type="percent" val="0"/>
        <cfvo type="num" val="$V$2"/>
        <cfvo type="num" val="$V$2" gte="0"/>
      </iconSet>
    </cfRule>
  </conditionalFormatting>
  <conditionalFormatting sqref="V2">
    <cfRule type="iconSet" priority="3">
      <iconSet iconSet="3Arrows">
        <cfvo type="percent" val="0"/>
        <cfvo type="num" val="$U$2"/>
        <cfvo type="num" val="$U$2" gte="0"/>
      </iconSet>
    </cfRule>
  </conditionalFormatting>
  <conditionalFormatting sqref="D2:D71">
    <cfRule type="expression" dxfId="64" priority="1">
      <formula>$Q2:$Q26=0</formula>
    </cfRule>
    <cfRule type="expression" dxfId="63" priority="2">
      <formula>$Q2:$Q26=1</formula>
    </cfRule>
  </conditionalFormatting>
  <dataValidations count="1">
    <dataValidation type="list" allowBlank="1" showInputMessage="1" showErrorMessage="1" sqref="O2:O71 AO12:AQ12" xr:uid="{00000000-0002-0000-0300-000000000000}">
      <formula1>ВидСпортаЧемпионат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300-000001000000}">
          <x14:formula1>
            <xm:f>Мастерская!$A$1:$A$6</xm:f>
          </x14:formula1>
          <xm:sqref>E2:E71</xm:sqref>
        </x14:dataValidation>
        <x14:dataValidation type="list" allowBlank="1" showInputMessage="1" showErrorMessage="1" xr:uid="{00000000-0002-0000-0300-000002000000}">
          <x14:formula1>
            <xm:f>Мастерская!$E$1:$E$3</xm:f>
          </x14:formula1>
          <xm:sqref>P2:P71 P202:P1048576</xm:sqref>
        </x14:dataValidation>
        <x14:dataValidation type="list" allowBlank="1" showInputMessage="1" showErrorMessage="1" xr:uid="{00000000-0002-0000-0300-000003000000}">
          <x14:formula1>
            <xm:f>Мастерская!$C$1:$C$3</xm:f>
          </x14:formula1>
          <xm:sqref>N2:N71 N202:N1048576</xm:sqref>
        </x14:dataValidation>
        <x14:dataValidation type="list" allowBlank="1" showInputMessage="1" showErrorMessage="1" xr:uid="{00000000-0002-0000-0300-000005000000}">
          <x14:formula1>
            <xm:f>Мастерская!$A:$A</xm:f>
          </x14:formula1>
          <xm:sqref>E202:E1048576</xm:sqref>
        </x14:dataValidation>
        <x14:dataValidation type="list" allowBlank="1" showInputMessage="1" showErrorMessage="1" xr:uid="{00000000-0002-0000-0300-000006000000}">
          <x14:formula1>
            <xm:f>Мастерская!$I:$I</xm:f>
          </x14:formula1>
          <xm:sqref>O202:O1048576</xm:sqref>
        </x14:dataValidation>
        <x14:dataValidation type="list" allowBlank="1" showInputMessage="1" showErrorMessage="1" xr:uid="{E53E7AFF-C202-4E95-90EC-7195668EF23E}">
          <x14:formula1>
            <xm:f>Мастерская!$B$1:$B$23</xm:f>
          </x14:formula1>
          <xm:sqref>D2:D71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AX201"/>
  <sheetViews>
    <sheetView zoomScale="70" zoomScaleNormal="70" workbookViewId="0">
      <selection activeCell="A2" sqref="A2"/>
    </sheetView>
  </sheetViews>
  <sheetFormatPr defaultRowHeight="14.4" x14ac:dyDescent="0.3"/>
  <cols>
    <col min="1" max="1" width="12.109375" customWidth="1"/>
    <col min="2" max="2" width="12.6640625" customWidth="1"/>
    <col min="4" max="4" width="31.77734375" customWidth="1"/>
    <col min="5" max="5" width="18.6640625" style="20" customWidth="1"/>
    <col min="6" max="6" width="14.109375" style="17" customWidth="1"/>
    <col min="7" max="7" width="14.6640625" style="17" customWidth="1"/>
    <col min="8" max="8" width="14.88671875" style="17" customWidth="1"/>
    <col min="9" max="9" width="18" style="17" customWidth="1"/>
    <col min="10" max="10" width="20.33203125" style="17" customWidth="1"/>
    <col min="11" max="11" width="21.33203125" style="17" customWidth="1"/>
    <col min="12" max="12" width="23.109375" style="74" customWidth="1"/>
    <col min="13" max="13" width="20" style="79" customWidth="1"/>
    <col min="14" max="14" width="13" customWidth="1"/>
    <col min="15" max="15" width="29.33203125" style="13" customWidth="1"/>
    <col min="16" max="16" width="12.5546875" style="20" customWidth="1"/>
    <col min="17" max="17" width="19.109375" style="17" customWidth="1"/>
    <col min="18" max="18" width="19.44140625" style="32" customWidth="1"/>
    <col min="19" max="19" width="10.5546875" customWidth="1"/>
    <col min="20" max="20" width="9.109375" customWidth="1"/>
    <col min="21" max="21" width="9.44140625" customWidth="1"/>
    <col min="22" max="22" width="10.6640625" customWidth="1"/>
    <col min="23" max="23" width="9.6640625" customWidth="1"/>
    <col min="24" max="24" width="15.33203125" customWidth="1"/>
    <col min="34" max="34" width="13.88671875" customWidth="1"/>
    <col min="35" max="35" width="31.6640625" customWidth="1"/>
    <col min="38" max="38" width="14.6640625" customWidth="1"/>
    <col min="39" max="39" width="16.77734375" customWidth="1"/>
    <col min="41" max="41" width="21.44140625" customWidth="1"/>
    <col min="42" max="42" width="27.33203125" customWidth="1"/>
    <col min="43" max="43" width="28.33203125" customWidth="1"/>
    <col min="44" max="44" width="34.21875" customWidth="1"/>
    <col min="45" max="45" width="30.77734375" customWidth="1"/>
    <col min="46" max="46" width="20.6640625" customWidth="1"/>
    <col min="47" max="47" width="14.88671875" customWidth="1"/>
    <col min="48" max="48" width="22.44140625" customWidth="1"/>
    <col min="49" max="49" width="15.33203125" customWidth="1"/>
    <col min="50" max="50" width="14.6640625" customWidth="1"/>
  </cols>
  <sheetData>
    <row r="1" spans="1:50" ht="78" customHeight="1" thickTop="1" thickBot="1" x14ac:dyDescent="0.35">
      <c r="A1" s="46" t="s">
        <v>0</v>
      </c>
      <c r="B1" s="47" t="s">
        <v>1</v>
      </c>
      <c r="C1" s="2"/>
      <c r="D1" s="116" t="s">
        <v>179</v>
      </c>
      <c r="E1" s="114" t="s">
        <v>5</v>
      </c>
      <c r="F1" s="7" t="s">
        <v>2</v>
      </c>
      <c r="G1" s="8" t="s">
        <v>10</v>
      </c>
      <c r="H1" s="8" t="s">
        <v>6</v>
      </c>
      <c r="I1" s="7" t="s">
        <v>4</v>
      </c>
      <c r="J1" s="9" t="s">
        <v>9</v>
      </c>
      <c r="K1" s="8" t="s">
        <v>11</v>
      </c>
      <c r="L1" s="10" t="s">
        <v>7</v>
      </c>
      <c r="M1" s="10" t="s">
        <v>8</v>
      </c>
      <c r="N1" s="7" t="s">
        <v>3</v>
      </c>
      <c r="O1" s="11" t="s">
        <v>20</v>
      </c>
      <c r="P1" s="7" t="s">
        <v>19</v>
      </c>
      <c r="Q1" s="29" t="s">
        <v>12</v>
      </c>
      <c r="R1" s="12" t="s">
        <v>89</v>
      </c>
      <c r="T1" s="43" t="s">
        <v>14</v>
      </c>
      <c r="U1" s="44" t="s">
        <v>68</v>
      </c>
      <c r="V1" s="63" t="s">
        <v>69</v>
      </c>
      <c r="W1" s="44" t="s">
        <v>13</v>
      </c>
      <c r="X1" s="45" t="s">
        <v>70</v>
      </c>
      <c r="Z1" s="148" t="s">
        <v>65</v>
      </c>
      <c r="AA1" s="149"/>
      <c r="AB1" s="149"/>
      <c r="AC1" s="149"/>
      <c r="AD1" s="149"/>
      <c r="AE1" s="149"/>
      <c r="AF1" s="149"/>
      <c r="AG1" s="149"/>
      <c r="AH1" s="149"/>
      <c r="AI1" s="12">
        <f t="array" ref="AI1">INDEX(D2:D71,MATCH(MAX(COUNTIF(D2:D71,D2:D71)),COUNTIF(D2:D71,D2:D71),0))</f>
        <v>0</v>
      </c>
      <c r="AK1" s="148" t="s">
        <v>175</v>
      </c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50"/>
    </row>
    <row r="2" spans="1:50" ht="16.5" customHeight="1" thickTop="1" thickBot="1" x14ac:dyDescent="0.35">
      <c r="A2" s="48"/>
      <c r="B2" s="49"/>
      <c r="D2" s="118"/>
      <c r="E2" s="115" t="s">
        <v>16</v>
      </c>
      <c r="F2" s="21"/>
      <c r="G2" s="21"/>
      <c r="H2" s="22" t="e">
        <f>(F2*100)/G2</f>
        <v>#DIV/0!</v>
      </c>
      <c r="I2" s="67"/>
      <c r="J2" s="21">
        <f>F2*I2+IF(N2="Фрибет",(F2*I2-F2)-F2*I2)</f>
        <v>0</v>
      </c>
      <c r="K2" s="22" t="e">
        <f>((J2*100)/G2)</f>
        <v>#DIV/0!</v>
      </c>
      <c r="L2" s="68" t="e">
        <f>1-M2</f>
        <v>#DIV/0!</v>
      </c>
      <c r="M2" s="69" t="e">
        <f>1/I2</f>
        <v>#DIV/0!</v>
      </c>
      <c r="N2" s="5"/>
      <c r="O2" s="28"/>
      <c r="P2" s="18" t="s">
        <v>39</v>
      </c>
      <c r="Q2" s="30">
        <f>IF(P2="Победа",1)+IF(P2="Поражение",0)+IF(P2="Не ставил",-2)</f>
        <v>-2</v>
      </c>
      <c r="R2" s="37"/>
      <c r="T2" s="39">
        <f>COUNTIF(Q2:Q1048576,1)+COUNTIF(Q2:Q1048576, 0)</f>
        <v>0</v>
      </c>
      <c r="U2" s="61">
        <f>COUNTIF(Q2:Q1048576,1)</f>
        <v>0</v>
      </c>
      <c r="V2" s="62">
        <f>COUNTIF(Q2:Q1048576,0)</f>
        <v>0</v>
      </c>
      <c r="W2" s="40" t="e">
        <f>(SUMIF(Q2:Q1048576,"=1")+SUMIF(Q2:Q1048576,"=0")*100)/T2</f>
        <v>#DIV/0!</v>
      </c>
      <c r="X2" s="41" t="e">
        <f>1-W2</f>
        <v>#DIV/0!</v>
      </c>
      <c r="Z2" s="190" t="s">
        <v>5</v>
      </c>
      <c r="AA2" s="160" t="s">
        <v>2</v>
      </c>
      <c r="AB2" s="192" t="s">
        <v>10</v>
      </c>
      <c r="AC2" s="193"/>
      <c r="AD2" s="192" t="s">
        <v>6</v>
      </c>
      <c r="AE2" s="193"/>
      <c r="AF2" s="144" t="s">
        <v>4</v>
      </c>
      <c r="AG2" s="144" t="s">
        <v>64</v>
      </c>
      <c r="AH2" s="144" t="s">
        <v>63</v>
      </c>
      <c r="AI2" s="175" t="s">
        <v>66</v>
      </c>
      <c r="AK2" s="179" t="s">
        <v>84</v>
      </c>
      <c r="AL2" s="180"/>
      <c r="AM2" s="185" t="s">
        <v>85</v>
      </c>
      <c r="AN2" s="180"/>
      <c r="AO2" s="186" t="s">
        <v>86</v>
      </c>
      <c r="AP2" s="187"/>
      <c r="AQ2" s="185" t="s">
        <v>87</v>
      </c>
      <c r="AR2" s="180"/>
      <c r="AS2" s="156" t="s">
        <v>123</v>
      </c>
      <c r="AT2" s="157"/>
      <c r="AU2" s="160" t="s">
        <v>119</v>
      </c>
      <c r="AV2" s="160" t="s">
        <v>120</v>
      </c>
      <c r="AW2" s="144" t="s">
        <v>121</v>
      </c>
      <c r="AX2" s="146" t="s">
        <v>122</v>
      </c>
    </row>
    <row r="3" spans="1:50" x14ac:dyDescent="0.3">
      <c r="A3" s="50"/>
      <c r="B3" s="51"/>
      <c r="D3" s="119"/>
      <c r="E3" s="115" t="s">
        <v>16</v>
      </c>
      <c r="F3" s="23"/>
      <c r="G3" s="23"/>
      <c r="H3" s="24" t="e">
        <f t="shared" ref="H3:H25" si="0">(F3*100)/G3</f>
        <v>#DIV/0!</v>
      </c>
      <c r="I3" s="33"/>
      <c r="J3" s="21">
        <f t="shared" ref="J3:J66" si="1">F3*I3+IF(N3="Фрибет",(F3*I3-F3)-F3*I3)</f>
        <v>0</v>
      </c>
      <c r="K3" s="24" t="e">
        <f t="shared" ref="K3:K66" si="2">((J3*100)/G3)</f>
        <v>#DIV/0!</v>
      </c>
      <c r="L3" s="70" t="e">
        <f t="shared" ref="L3:L66" si="3">1-M3</f>
        <v>#DIV/0!</v>
      </c>
      <c r="M3" s="75" t="e">
        <f t="shared" ref="M3:M66" si="4">1/I3</f>
        <v>#DIV/0!</v>
      </c>
      <c r="N3" s="1"/>
      <c r="O3" s="28"/>
      <c r="P3" s="19" t="s">
        <v>39</v>
      </c>
      <c r="Q3" s="31">
        <f>IF(P3="Победа",1)+IF(P3="Поражение",0)+IF(P3="Не ставил",-2)</f>
        <v>-2</v>
      </c>
      <c r="R3" s="38"/>
      <c r="T3" s="3"/>
      <c r="Z3" s="191"/>
      <c r="AA3" s="161"/>
      <c r="AB3" s="194"/>
      <c r="AC3" s="195"/>
      <c r="AD3" s="194"/>
      <c r="AE3" s="195"/>
      <c r="AF3" s="145"/>
      <c r="AG3" s="145"/>
      <c r="AH3" s="145"/>
      <c r="AI3" s="176"/>
      <c r="AK3" s="181"/>
      <c r="AL3" s="159"/>
      <c r="AM3" s="158"/>
      <c r="AN3" s="159"/>
      <c r="AO3" s="188"/>
      <c r="AP3" s="189"/>
      <c r="AQ3" s="158"/>
      <c r="AR3" s="159"/>
      <c r="AS3" s="158"/>
      <c r="AT3" s="159"/>
      <c r="AU3" s="161"/>
      <c r="AV3" s="161"/>
      <c r="AW3" s="145"/>
      <c r="AX3" s="147"/>
    </row>
    <row r="4" spans="1:50" ht="15" thickBot="1" x14ac:dyDescent="0.35">
      <c r="A4" s="50"/>
      <c r="B4" s="51"/>
      <c r="D4" s="119"/>
      <c r="E4" s="115" t="s">
        <v>16</v>
      </c>
      <c r="F4" s="14"/>
      <c r="G4" s="14"/>
      <c r="H4" s="15" t="e">
        <f t="shared" si="0"/>
        <v>#DIV/0!</v>
      </c>
      <c r="I4" s="35"/>
      <c r="J4" s="21">
        <f t="shared" si="1"/>
        <v>0</v>
      </c>
      <c r="K4" s="15" t="e">
        <f t="shared" si="2"/>
        <v>#DIV/0!</v>
      </c>
      <c r="L4" s="71" t="e">
        <f t="shared" si="3"/>
        <v>#DIV/0!</v>
      </c>
      <c r="M4" s="76" t="e">
        <f t="shared" si="4"/>
        <v>#DIV/0!</v>
      </c>
      <c r="N4" s="16"/>
      <c r="O4" s="28"/>
      <c r="P4" s="19" t="s">
        <v>39</v>
      </c>
      <c r="Q4" s="30">
        <f t="shared" ref="Q4:Q67" si="5">IF(P4="Победа",1)+IF(P4="Поражение",0)+IF(P4="Не ставил",-2)</f>
        <v>-2</v>
      </c>
      <c r="R4" s="38"/>
      <c r="Z4" s="89" t="str">
        <f t="array" ref="Z4">INDEX(E2:E71,MATCH(MAX(COUNTIF(E2:E71,E2:E71)),COUNTIF(E2:E71,E2:E71),0))</f>
        <v>Моя</v>
      </c>
      <c r="AA4" s="57" t="e">
        <f>AVERAGE(F2:F1048576)</f>
        <v>#DIV/0!</v>
      </c>
      <c r="AB4" s="177" t="e">
        <f>AVERAGE(G2:G1048576)</f>
        <v>#DIV/0!</v>
      </c>
      <c r="AC4" s="178"/>
      <c r="AD4" s="183" t="e">
        <f>AVERAGEIF(H2:H1048576, "&gt;0")</f>
        <v>#DIV/0!</v>
      </c>
      <c r="AE4" s="184"/>
      <c r="AF4" s="111" t="e">
        <f>AVERAGE(I2:I1048576)</f>
        <v>#DIV/0!</v>
      </c>
      <c r="AG4" s="85" t="e">
        <f>AVERAGEIF(L2:L1048576,"&gt;0")</f>
        <v>#DIV/0!</v>
      </c>
      <c r="AH4" s="87">
        <f t="array" ref="AH4">INDEX(N2:N71,MATCH(MAX(COUNTIF(N2:N71,N2:N71)),COUNTIF(N2:N71,N2:N71),0))</f>
        <v>0</v>
      </c>
      <c r="AI4" s="88">
        <f t="array" ref="AI4">INDEX(O2:O71,MATCH(MAX(COUNTIF(O2:O71,O2:O71)),COUNTIF(O2:O71,O2:O71),0))</f>
        <v>0</v>
      </c>
      <c r="AK4" s="182">
        <f>MAX(F2:F1048576)</f>
        <v>0</v>
      </c>
      <c r="AL4" s="178"/>
      <c r="AM4" s="177">
        <f>MIN(F2:F1048576)</f>
        <v>0</v>
      </c>
      <c r="AN4" s="178"/>
      <c r="AO4" s="183">
        <f>MAX(I2:I1048576)</f>
        <v>0</v>
      </c>
      <c r="AP4" s="184"/>
      <c r="AQ4" s="183">
        <f>MIN(I2:I1048576)</f>
        <v>0</v>
      </c>
      <c r="AR4" s="184"/>
      <c r="AS4" s="177">
        <f>MAX(J2:J1048576)</f>
        <v>0</v>
      </c>
      <c r="AT4" s="178"/>
      <c r="AU4" s="58">
        <f t="array" ref="AU4">MAX(IF(P2:P71=Мастерская!E1,J2:J71))</f>
        <v>0</v>
      </c>
      <c r="AV4" s="58">
        <f t="array" ref="AV4">MIN(IF(P2:P71=Мастерская!E1,J2:J71))</f>
        <v>0</v>
      </c>
      <c r="AW4" s="58">
        <f t="array" ref="AW4">MAX(IF(P2:P71=Мастерская!E2,F2:F71))</f>
        <v>0</v>
      </c>
      <c r="AX4" s="66">
        <f t="array" ref="AX4">MIN(IF(P2:P71=Мастерская!E2,F2:F71))</f>
        <v>0</v>
      </c>
    </row>
    <row r="5" spans="1:50" x14ac:dyDescent="0.3">
      <c r="A5" s="50"/>
      <c r="B5" s="51"/>
      <c r="D5" s="119"/>
      <c r="E5" s="115" t="s">
        <v>16</v>
      </c>
      <c r="F5" s="23"/>
      <c r="G5" s="23"/>
      <c r="H5" s="24" t="e">
        <f t="shared" si="0"/>
        <v>#DIV/0!</v>
      </c>
      <c r="I5" s="33"/>
      <c r="J5" s="21">
        <f t="shared" si="1"/>
        <v>0</v>
      </c>
      <c r="K5" s="24" t="e">
        <f t="shared" si="2"/>
        <v>#DIV/0!</v>
      </c>
      <c r="L5" s="70" t="e">
        <f t="shared" si="3"/>
        <v>#DIV/0!</v>
      </c>
      <c r="M5" s="75" t="e">
        <f t="shared" si="4"/>
        <v>#DIV/0!</v>
      </c>
      <c r="N5" s="1"/>
      <c r="O5" s="28"/>
      <c r="P5" s="19" t="s">
        <v>39</v>
      </c>
      <c r="Q5" s="31">
        <f t="shared" si="5"/>
        <v>-2</v>
      </c>
      <c r="R5" s="38"/>
    </row>
    <row r="6" spans="1:50" ht="15" thickBot="1" x14ac:dyDescent="0.35">
      <c r="A6" s="50"/>
      <c r="B6" s="51"/>
      <c r="D6" s="119"/>
      <c r="E6" s="115" t="s">
        <v>16</v>
      </c>
      <c r="F6" s="23"/>
      <c r="G6" s="23"/>
      <c r="H6" s="24" t="e">
        <f t="shared" si="0"/>
        <v>#DIV/0!</v>
      </c>
      <c r="I6" s="33"/>
      <c r="J6" s="21">
        <f t="shared" si="1"/>
        <v>0</v>
      </c>
      <c r="K6" s="24" t="e">
        <f t="shared" si="2"/>
        <v>#DIV/0!</v>
      </c>
      <c r="L6" s="70" t="e">
        <f t="shared" si="3"/>
        <v>#DIV/0!</v>
      </c>
      <c r="M6" s="75" t="e">
        <f t="shared" si="4"/>
        <v>#DIV/0!</v>
      </c>
      <c r="N6" s="1"/>
      <c r="O6" s="28"/>
      <c r="P6" s="19" t="s">
        <v>39</v>
      </c>
      <c r="Q6" s="30">
        <f t="shared" si="5"/>
        <v>-2</v>
      </c>
      <c r="R6" s="38"/>
    </row>
    <row r="7" spans="1:50" ht="15.6" thickTop="1" thickBot="1" x14ac:dyDescent="0.35">
      <c r="A7" s="50"/>
      <c r="B7" s="51"/>
      <c r="D7" s="119"/>
      <c r="E7" s="115" t="s">
        <v>16</v>
      </c>
      <c r="F7" s="23"/>
      <c r="G7" s="23"/>
      <c r="H7" s="24" t="e">
        <f t="shared" si="0"/>
        <v>#DIV/0!</v>
      </c>
      <c r="I7" s="33"/>
      <c r="J7" s="21">
        <f t="shared" si="1"/>
        <v>0</v>
      </c>
      <c r="K7" s="24" t="e">
        <f t="shared" si="2"/>
        <v>#DIV/0!</v>
      </c>
      <c r="L7" s="70" t="e">
        <f t="shared" si="3"/>
        <v>#DIV/0!</v>
      </c>
      <c r="M7" s="75" t="e">
        <f t="shared" si="4"/>
        <v>#DIV/0!</v>
      </c>
      <c r="N7" s="1"/>
      <c r="O7" s="28"/>
      <c r="P7" s="19" t="s">
        <v>39</v>
      </c>
      <c r="Q7" s="31">
        <f t="shared" si="5"/>
        <v>-2</v>
      </c>
      <c r="R7" s="38"/>
      <c r="AO7" s="196" t="s">
        <v>90</v>
      </c>
      <c r="AP7" s="203"/>
      <c r="AQ7" s="203"/>
      <c r="AR7" s="203"/>
      <c r="AS7" s="203"/>
      <c r="AT7" s="197"/>
    </row>
    <row r="8" spans="1:50" ht="15" thickTop="1" x14ac:dyDescent="0.3">
      <c r="A8" s="50"/>
      <c r="B8" s="51"/>
      <c r="D8" s="119"/>
      <c r="E8" s="115" t="s">
        <v>16</v>
      </c>
      <c r="F8" s="23"/>
      <c r="G8" s="23"/>
      <c r="H8" s="24" t="e">
        <f t="shared" si="0"/>
        <v>#DIV/0!</v>
      </c>
      <c r="I8" s="33"/>
      <c r="J8" s="21">
        <f t="shared" si="1"/>
        <v>0</v>
      </c>
      <c r="K8" s="24" t="e">
        <f t="shared" si="2"/>
        <v>#DIV/0!</v>
      </c>
      <c r="L8" s="70" t="e">
        <f t="shared" si="3"/>
        <v>#DIV/0!</v>
      </c>
      <c r="M8" s="75" t="e">
        <f t="shared" si="4"/>
        <v>#DIV/0!</v>
      </c>
      <c r="N8" s="1"/>
      <c r="O8" s="28"/>
      <c r="P8" s="19" t="s">
        <v>39</v>
      </c>
      <c r="Q8" s="30">
        <f t="shared" si="5"/>
        <v>-2</v>
      </c>
      <c r="R8" s="38"/>
      <c r="AO8" s="166" t="s">
        <v>178</v>
      </c>
      <c r="AP8" s="167"/>
      <c r="AQ8" s="168" t="s">
        <v>17</v>
      </c>
      <c r="AR8" s="167"/>
      <c r="AS8" s="168" t="s">
        <v>40</v>
      </c>
      <c r="AT8" s="169"/>
    </row>
    <row r="9" spans="1:50" ht="15" thickBot="1" x14ac:dyDescent="0.35">
      <c r="A9" s="52"/>
      <c r="B9" s="51"/>
      <c r="D9" s="119"/>
      <c r="E9" s="115" t="s">
        <v>16</v>
      </c>
      <c r="F9" s="23"/>
      <c r="G9" s="23"/>
      <c r="H9" s="24" t="e">
        <f t="shared" si="0"/>
        <v>#DIV/0!</v>
      </c>
      <c r="I9" s="33"/>
      <c r="J9" s="21">
        <f t="shared" si="1"/>
        <v>0</v>
      </c>
      <c r="K9" s="24" t="e">
        <f t="shared" si="2"/>
        <v>#DIV/0!</v>
      </c>
      <c r="L9" s="70" t="e">
        <f t="shared" si="3"/>
        <v>#DIV/0!</v>
      </c>
      <c r="M9" s="75" t="e">
        <f t="shared" si="4"/>
        <v>#DIV/0!</v>
      </c>
      <c r="N9" s="1"/>
      <c r="O9" s="28"/>
      <c r="P9" s="19" t="s">
        <v>39</v>
      </c>
      <c r="Q9" s="31">
        <f t="shared" si="5"/>
        <v>-2</v>
      </c>
      <c r="R9" s="38"/>
      <c r="AO9" s="162">
        <f>COUNTIF(N2:N1048576, "Одинар")</f>
        <v>0</v>
      </c>
      <c r="AP9" s="163"/>
      <c r="AQ9" s="164">
        <f>COUNTIF(N2:N1048576, "Экспресс")</f>
        <v>0</v>
      </c>
      <c r="AR9" s="163"/>
      <c r="AS9" s="164">
        <f>COUNTIF(N2:N1048576, "Фрибет")</f>
        <v>0</v>
      </c>
      <c r="AT9" s="165"/>
    </row>
    <row r="10" spans="1:50" ht="15" thickBot="1" x14ac:dyDescent="0.35">
      <c r="A10" s="52"/>
      <c r="B10" s="51"/>
      <c r="D10" s="119"/>
      <c r="E10" s="115" t="s">
        <v>16</v>
      </c>
      <c r="F10" s="25"/>
      <c r="G10" s="25"/>
      <c r="H10" s="26" t="e">
        <f t="shared" si="0"/>
        <v>#DIV/0!</v>
      </c>
      <c r="I10" s="36"/>
      <c r="J10" s="21">
        <f t="shared" si="1"/>
        <v>0</v>
      </c>
      <c r="K10" s="26" t="e">
        <f t="shared" si="2"/>
        <v>#DIV/0!</v>
      </c>
      <c r="L10" s="72" t="e">
        <f t="shared" si="3"/>
        <v>#DIV/0!</v>
      </c>
      <c r="M10" s="77" t="e">
        <f t="shared" si="4"/>
        <v>#DIV/0!</v>
      </c>
      <c r="N10" s="4"/>
      <c r="O10" s="28"/>
      <c r="P10" s="19" t="s">
        <v>39</v>
      </c>
      <c r="Q10" s="30">
        <f t="shared" si="5"/>
        <v>-2</v>
      </c>
      <c r="R10" s="38"/>
    </row>
    <row r="11" spans="1:50" ht="15.6" thickTop="1" thickBot="1" x14ac:dyDescent="0.35">
      <c r="A11" s="50"/>
      <c r="B11" s="51"/>
      <c r="D11" s="119"/>
      <c r="E11" s="115" t="s">
        <v>16</v>
      </c>
      <c r="F11" s="23"/>
      <c r="G11" s="23"/>
      <c r="H11" s="24" t="e">
        <f t="shared" si="0"/>
        <v>#DIV/0!</v>
      </c>
      <c r="I11" s="33"/>
      <c r="J11" s="21">
        <f t="shared" si="1"/>
        <v>0</v>
      </c>
      <c r="K11" s="24" t="e">
        <f t="shared" si="2"/>
        <v>#DIV/0!</v>
      </c>
      <c r="L11" s="70" t="e">
        <f t="shared" si="3"/>
        <v>#DIV/0!</v>
      </c>
      <c r="M11" s="75" t="e">
        <f t="shared" si="4"/>
        <v>#DIV/0!</v>
      </c>
      <c r="N11" s="1"/>
      <c r="O11" s="28"/>
      <c r="P11" s="19" t="s">
        <v>39</v>
      </c>
      <c r="Q11" s="31">
        <f t="shared" si="5"/>
        <v>-2</v>
      </c>
      <c r="R11" s="38"/>
      <c r="AO11" s="200" t="s">
        <v>177</v>
      </c>
      <c r="AP11" s="201"/>
      <c r="AQ11" s="201"/>
      <c r="AR11" s="201"/>
      <c r="AS11" s="201"/>
      <c r="AT11" s="201"/>
      <c r="AU11" s="201"/>
      <c r="AV11" s="202"/>
    </row>
    <row r="12" spans="1:50" ht="15" thickTop="1" x14ac:dyDescent="0.3">
      <c r="A12" s="50"/>
      <c r="B12" s="51"/>
      <c r="D12" s="119"/>
      <c r="E12" s="115" t="s">
        <v>16</v>
      </c>
      <c r="F12" s="21"/>
      <c r="G12" s="21"/>
      <c r="H12" s="22" t="e">
        <f t="shared" si="0"/>
        <v>#DIV/0!</v>
      </c>
      <c r="I12" s="34"/>
      <c r="J12" s="21">
        <f t="shared" si="1"/>
        <v>0</v>
      </c>
      <c r="K12" s="22" t="e">
        <f t="shared" si="2"/>
        <v>#DIV/0!</v>
      </c>
      <c r="L12" s="68" t="e">
        <f t="shared" si="3"/>
        <v>#DIV/0!</v>
      </c>
      <c r="M12" s="69" t="e">
        <f t="shared" si="4"/>
        <v>#DIV/0!</v>
      </c>
      <c r="N12" s="5"/>
      <c r="O12" s="28"/>
      <c r="P12" s="19" t="s">
        <v>39</v>
      </c>
      <c r="Q12" s="30">
        <f t="shared" si="5"/>
        <v>-2</v>
      </c>
      <c r="R12" s="38"/>
      <c r="AO12" s="154" t="s">
        <v>33</v>
      </c>
      <c r="AP12" s="155"/>
      <c r="AQ12" s="155"/>
      <c r="AR12" s="96" t="s">
        <v>109</v>
      </c>
      <c r="AS12" s="96" t="s">
        <v>110</v>
      </c>
      <c r="AT12" s="155" t="s">
        <v>111</v>
      </c>
      <c r="AU12" s="155"/>
      <c r="AV12" s="91" t="s">
        <v>112</v>
      </c>
    </row>
    <row r="13" spans="1:50" ht="15" thickBot="1" x14ac:dyDescent="0.35">
      <c r="A13" s="50"/>
      <c r="B13" s="51"/>
      <c r="D13" s="119"/>
      <c r="E13" s="115" t="s">
        <v>16</v>
      </c>
      <c r="F13" s="23"/>
      <c r="G13" s="23"/>
      <c r="H13" s="24" t="e">
        <f t="shared" si="0"/>
        <v>#DIV/0!</v>
      </c>
      <c r="I13" s="33"/>
      <c r="J13" s="21">
        <f t="shared" si="1"/>
        <v>0</v>
      </c>
      <c r="K13" s="24" t="e">
        <f t="shared" si="2"/>
        <v>#DIV/0!</v>
      </c>
      <c r="L13" s="70" t="e">
        <f t="shared" si="3"/>
        <v>#DIV/0!</v>
      </c>
      <c r="M13" s="75" t="e">
        <f t="shared" si="4"/>
        <v>#DIV/0!</v>
      </c>
      <c r="N13" s="1"/>
      <c r="O13" s="28"/>
      <c r="P13" s="19" t="s">
        <v>39</v>
      </c>
      <c r="Q13" s="31">
        <f t="shared" si="5"/>
        <v>-2</v>
      </c>
      <c r="R13" s="38"/>
      <c r="AO13" s="173">
        <f>IF(AO12="Футбол - Лига Чемпионов УЕФА",Мастерская!J1, 0)+IF(AO12="Футбол - Лига Европы УЕФА",Мастерская!J2, 0)+IF(AO12="Футбол - Еврокубки. Другое",Мастерская!J3, 0)+IF(AO12="Футбол - Россия. РПЛ",Мастерская!J4, 0)+IF(AO12="Футбол - Кубок России",Мастерская!J5, 0)+IF(AO12="Футбол - Россия. ФНЛ",Мастерская!J6, 0)+IF(AO12="Футбол - Россия. ПФЛ",Мастерская!J7, 0)+IF(AO12="Футбол - Россия. Другое",Мастерская!J8, 0)+IF(AO12="Футбол - Англия. АПЛ",Мастерская!J9, 0)+IF(AO12="Футбол - Кубок Англии",Мастерская!J10, 0)+IF(AO12="Футбол - Англия. Кубок Лиги",Мастерская!J11, 0)+IF(AO12="Футбол - Англия. Чемпионшип",Мастерская!J12, 0)+IF(AO12="Футбол - Испания. Ла Лига",Мастерская!J13, 0)+IF(AO12="Футбол - Италия. Серия А",Мастерская!J14, 0)+IF(AO12="Футбол - Германия. Бундеслига",Мастерская!J15, 0)+IF(AO12="Футбол - Франция. Лига 1",Мастерская!J16, 0)+IF(AO12="Футбол - Португалия. Лига NOS",Мастерская!J17, 0)+IF(AO12="Футбол - Турция. Суперлига",Мастерская!J18, 0)+IF(AO12="Футбол - Нидерланды. Эредивизи",Мастерская!J19, 0)+IF(AO12="Футбол - Греция. Суперлига",Мастерская!J20, 0)+IF(AO12="Футбол - Украина. УПЛ",Мастерская!J21, 0)+IF(AO12="Футбол - Кубок Либертадорес",Мастерская!J22, 0)+IF(AO12="Футбол - США/Канада. MLS",Мастерская!J23, 0)+IF(AO12="Футбол - Бразилия. Сериа А",Мастерская!J24, 0)+IF(AO12="Футбол - Аргентина. Суперлига",Мастерская!J25, 0)+IF(AO12="Футбол - Китай. Суперлига",Мастерская!J26, 0)+IF(AO12="Футбол - Сборные. Чемпионат мира",Мастерская!J27, 0)+IF(AO12="Футбол - Сборные. Чемпионат Европы",Мастерская!J28, 0)+IF(AO12="Футбол - Сборные. Лига Наций",Мастерская!J29, 0)+IF(AO12="Футбол - Сборные. Кубок Америки",Мастерская!J30, 0)+IF(AO12="Футбол - Сборные. Кубок Азии",Мастерская!J31, 0)+IF(AO12="Футбол - Сборные. Кубок Африки",Мастерская!J32, 0)+IF(AO12="Футбол - Сборные. КОНКАКАФ",Мастерская!J33, 0)+IF(AO12="Футбол - Сборные.  Другое",Мастерская!J34, 0)+IF(AO12="Хоккей - КХЛ",Мастерская!J35, 0)+IF(AO12="Хоккей - НХЛ",Мастерская!J36, 0)+IF(AO12="Хоккей - Сборные. Чемпионат мира",Мастерская!J37, 0)+IF(AO12="Хоккей - Сборные. Евротур",Мастерская!J38, 0)+IF(AO12="Смешанные единоборства - UFC",Мастерская!J39, 0)+IF(AO12="Смешанные единоборства - Bellator",Мастерская!J40, 0)+IF(AO12="Смешанные единоборства - M-1",Мастерская!J41, 0)+IF(AO12="Смешанные единоборства - Fight Nights Global",Мастерская!J42, 0)+IF(AO12="Бокс - WBA",Мастерская!J43, 0)+IF(AO12="Бокс - WBC",Мастерская!J44, 0)+IF(AO12="Бокс - WBO",Мастерская!J45, 0)+IF(AO12="Бокс - IBF",Мастерская!J46, 0)+IF(AO12="Бокс - IBO",Мастерская!J47, 0)+IF(AO12="Теннис - Уимблдон. ATP",Мастерская!J48, 0)+IF(AO12="Теннис - Уимблдон. WTA",Мастерская!J49, 0)+IF(AO12="Теннис - Australian Open",Мастерская!J50, 0)+IF(AO12="Теннис - Франция. Ролан Гаррос",Мастерская!J51, 0)+IF(AO12="Теннис - US Open",Мастерская!J52, 0)+IF(AO12="Теннис - Кубок Федерации",Мастерская!J53, 0)+IF(AO12="Теннис - Кубок Дэвиса",Мастерская!J54, 0)+IF(AO12="Теннис - Кубок Кремля",Мастерская!J55, 0)+IF(AO12="Баскетбол - Сборные. Чемпионат мира",Мастерская!J56, 0)+IF(AO12="Баскетбол - Сборные. Чемпионат Европы",Мастерская!J57, 0)+IF(AO12="Баскетбол - Евролига",Мастерская!J58, 0)+IF(AO12="Баскетбол - Еврокубок",Мастерская!J59, 0)+IF(AO12="Баскетбол - Лига Чемпионов",Мастерская!J60, 0)+IF(AO12="Баскетбол - Россия. Единая Лига ВТБ",Мастерская!J61, 0)+IF(AO12="Баскетбол - США. NBA",Мастерская!J62, 0)+IF(AO12="Волейбол - Сборные. Чемпионат мира",Мастерская!J63, 0)+IF(AO12="Волейбол - Сборные. Кубок мира",Мастерская!J64, 0)+IF(AO12="Волейбол - Сборные. Всемирный Кубок Чемпионов",Мастерская!J65, 0)+IF(AO12="Волейбол - Сборные. Лига наций",Мастерская!J66, 0)+IF(AO12="Волейбол - Сборные. Чемпионат Европы",Мастерская!J67, 0)+IF(AO12="Волейбол - Евролига",Мастерская!J68, 0)+IF(AO12="Волейбол - Чемпионат России",Мастерская!J69, 0)+IF(AO12="Биатлон - Чемпионат мира",Мастерская!J70, 0)+IF(AO12="Биатлон - Чемпионат Европы",Мастерская!J71, 0)+IF(AO12="Биатлон - Кубок мира",Мастерская!J72, 0)+IF(AO12="Биатлон - Кубок IBU",Мастерская!J73, 0)+IF(AO12="Формула-1",Мастерская!J74, 0)+IF(AO12="Киберспорт - The International. Dota 2 Championships",Мастерская!J75, 0)+IF(AO12="Киберспорт - Другое",Мастерская!J76, 0)+IF(AO12="Мини-футбол - Сборные. Чемпионат мира",Мастерская!J77, 0)+IF(AO12="Мини-футбол - Сборные. Чемпионат Европы",Мастерская!J78, 0)+IF(AO12="Мини-футбол - Лига Чемпионов УЕФА",Мастерская!J79, 0)+IF(AO12="Мини-футбол - Россия. Суперлига",Мастерская!J80, 0)+IF(AO12="Мини-футбол - Бразилия. Лига футзала",Мастерская!J81, 0)+IF(AO12="Пляжный футбол - Сборные. Чемпионат мира",Мастерская!J82, 0)+IF(AO12="Пляжный футбол - Сборные. Межконтинентальный кубок",Мастерская!J83, 0)+IF(AO12="Пляжный футбол - Сборные. Кубок Европы",Мастерская!J84, 0)+IF(AO12="Пляжный футбол - Кубок европейских чемпионов",Мастерская!J85, 0)+IF(AO12="Пляжный футбол - Чемпионат России",Мастерская!J86, 0)+IF(AO12="Настольный теннис - Сборные. Чемпионат мира",Мастерская!J87, 0)+IF(AO12="Настольный теннис - Сборные. Чемпионат Европы",Мастерская!J88, 0)+IF(AO12="Хоккей с мячом - Сборные. Чемпионат мира",Мастерская!J89, 0)+IF(AO12="Хоккей с мячом - Россия. Суперлига",Мастерская!J90, 0)+IF(AO12="Гандбол",Мастерская!J91, 0)+IF(AO12="Снукер",Мастерская!J92, 0)+IF(AO12="Скачки",Мастерская!J93, 0)+IF(AO12="Американский футбол",Мастерская!J94, 0)+IF(AO12="Бейсбол",Мастерская!J95, 0)+IF(AO12="Водное поло",Мастерская!J96, 0)+IF(AO12="Лыжные гонки",Мастерская!J97, 0)+IF(AO12="Тяжёлая атлетика",Мастерская!J98, 0)+IF(AO12="Лёгкая атлетика",Мастерская!J99, 0)+IF(AO12="Регби",Мастерская!J100, 0)+IF(AO12="Пляжный волейбол",Мастерская!J101, 0)+IF(AO12="Кёрлинг",Мастерская!J102, 0)+IF(AO12="Гольф",Мастерская!J103, 0)+IF(AO12="Прыжки с трамплина",Мастерская!J104, 0)</f>
        <v>0</v>
      </c>
      <c r="AP13" s="174"/>
      <c r="AQ13" s="174"/>
      <c r="AR13" s="95">
        <f>SUM(Мастерская!J1:J34)</f>
        <v>0</v>
      </c>
      <c r="AS13" s="95">
        <f>SUM(Мастерская!J35:J38)</f>
        <v>0</v>
      </c>
      <c r="AT13" s="174">
        <f>SUM(Мастерская!J39:J42)</f>
        <v>0</v>
      </c>
      <c r="AU13" s="174"/>
      <c r="AV13" s="97">
        <f>SUM(Мастерская!J43:J47)</f>
        <v>0</v>
      </c>
    </row>
    <row r="14" spans="1:50" ht="15" thickTop="1" x14ac:dyDescent="0.3">
      <c r="A14" s="50"/>
      <c r="B14" s="51"/>
      <c r="D14" s="119"/>
      <c r="E14" s="115" t="s">
        <v>16</v>
      </c>
      <c r="F14" s="23"/>
      <c r="G14" s="23"/>
      <c r="H14" s="24" t="e">
        <f t="shared" si="0"/>
        <v>#DIV/0!</v>
      </c>
      <c r="I14" s="33"/>
      <c r="J14" s="21">
        <f t="shared" si="1"/>
        <v>0</v>
      </c>
      <c r="K14" s="24" t="e">
        <f t="shared" si="2"/>
        <v>#DIV/0!</v>
      </c>
      <c r="L14" s="70" t="e">
        <f t="shared" si="3"/>
        <v>#DIV/0!</v>
      </c>
      <c r="M14" s="75" t="e">
        <f t="shared" si="4"/>
        <v>#DIV/0!</v>
      </c>
      <c r="N14" s="1"/>
      <c r="O14" s="28"/>
      <c r="P14" s="19" t="s">
        <v>39</v>
      </c>
      <c r="Q14" s="30">
        <f t="shared" si="5"/>
        <v>-2</v>
      </c>
      <c r="R14" s="38"/>
      <c r="AO14" s="92" t="s">
        <v>113</v>
      </c>
      <c r="AP14" s="94" t="s">
        <v>114</v>
      </c>
      <c r="AQ14" s="94" t="s">
        <v>115</v>
      </c>
      <c r="AR14" s="94" t="s">
        <v>116</v>
      </c>
      <c r="AS14" s="94" t="s">
        <v>61</v>
      </c>
      <c r="AT14" s="94" t="s">
        <v>117</v>
      </c>
      <c r="AU14" s="94" t="s">
        <v>151</v>
      </c>
      <c r="AV14" s="98" t="s">
        <v>152</v>
      </c>
    </row>
    <row r="15" spans="1:50" ht="15" thickBot="1" x14ac:dyDescent="0.35">
      <c r="A15" s="50"/>
      <c r="B15" s="51"/>
      <c r="D15" s="119"/>
      <c r="E15" s="115" t="s">
        <v>16</v>
      </c>
      <c r="F15" s="23"/>
      <c r="G15" s="23"/>
      <c r="H15" s="24" t="e">
        <f t="shared" si="0"/>
        <v>#DIV/0!</v>
      </c>
      <c r="I15" s="33"/>
      <c r="J15" s="21">
        <f t="shared" si="1"/>
        <v>0</v>
      </c>
      <c r="K15" s="24" t="e">
        <f t="shared" si="2"/>
        <v>#DIV/0!</v>
      </c>
      <c r="L15" s="70" t="e">
        <f t="shared" si="3"/>
        <v>#DIV/0!</v>
      </c>
      <c r="M15" s="75" t="e">
        <f t="shared" si="4"/>
        <v>#DIV/0!</v>
      </c>
      <c r="N15" s="1"/>
      <c r="O15" s="28"/>
      <c r="P15" s="19" t="s">
        <v>39</v>
      </c>
      <c r="Q15" s="31">
        <f t="shared" si="5"/>
        <v>-2</v>
      </c>
      <c r="R15" s="38"/>
      <c r="AO15" s="93">
        <f>SUM(Мастерская!J48:J55)</f>
        <v>0</v>
      </c>
      <c r="AP15" s="95">
        <f>SUM(Мастерская!J56:J62)</f>
        <v>0</v>
      </c>
      <c r="AQ15" s="95">
        <f>SUM(Мастерская!J63:J69)</f>
        <v>0</v>
      </c>
      <c r="AR15" s="95">
        <f>SUM(Мастерская!J70:J73)</f>
        <v>0</v>
      </c>
      <c r="AS15" s="95">
        <f>Мастерская!J74</f>
        <v>0</v>
      </c>
      <c r="AT15" s="95">
        <f>SUM(Мастерская!J75:J76)</f>
        <v>0</v>
      </c>
      <c r="AU15" s="95">
        <f>SUM(Мастерская!J77:J81)</f>
        <v>0</v>
      </c>
      <c r="AV15" s="97">
        <f>SUM(Мастерская!J82:J86)</f>
        <v>0</v>
      </c>
    </row>
    <row r="16" spans="1:50" ht="15" thickTop="1" x14ac:dyDescent="0.3">
      <c r="A16" s="50"/>
      <c r="B16" s="51"/>
      <c r="D16" s="119"/>
      <c r="E16" s="115" t="s">
        <v>16</v>
      </c>
      <c r="F16" s="23"/>
      <c r="G16" s="23"/>
      <c r="H16" s="24" t="e">
        <f t="shared" si="0"/>
        <v>#DIV/0!</v>
      </c>
      <c r="I16" s="33"/>
      <c r="J16" s="21">
        <f t="shared" si="1"/>
        <v>0</v>
      </c>
      <c r="K16" s="24" t="e">
        <f t="shared" si="2"/>
        <v>#DIV/0!</v>
      </c>
      <c r="L16" s="70" t="e">
        <f t="shared" si="3"/>
        <v>#DIV/0!</v>
      </c>
      <c r="M16" s="75" t="e">
        <f t="shared" si="4"/>
        <v>#DIV/0!</v>
      </c>
      <c r="N16" s="1"/>
      <c r="O16" s="28"/>
      <c r="P16" s="19" t="s">
        <v>39</v>
      </c>
      <c r="Q16" s="30">
        <f t="shared" si="5"/>
        <v>-2</v>
      </c>
      <c r="R16" s="38"/>
      <c r="AO16" s="99" t="s">
        <v>145</v>
      </c>
      <c r="AP16" s="100" t="s">
        <v>154</v>
      </c>
      <c r="AQ16" s="100" t="s">
        <v>144</v>
      </c>
      <c r="AR16" s="100" t="s">
        <v>155</v>
      </c>
      <c r="AS16" s="100" t="s">
        <v>146</v>
      </c>
      <c r="AT16" s="100" t="s">
        <v>153</v>
      </c>
      <c r="AU16" s="100" t="s">
        <v>143</v>
      </c>
      <c r="AV16" s="101" t="s">
        <v>157</v>
      </c>
    </row>
    <row r="17" spans="1:48" ht="15" thickBot="1" x14ac:dyDescent="0.35">
      <c r="A17" s="50"/>
      <c r="B17" s="51"/>
      <c r="D17" s="119"/>
      <c r="E17" s="115" t="s">
        <v>16</v>
      </c>
      <c r="F17" s="23"/>
      <c r="G17" s="23"/>
      <c r="H17" s="24" t="e">
        <f t="shared" si="0"/>
        <v>#DIV/0!</v>
      </c>
      <c r="I17" s="33"/>
      <c r="J17" s="21">
        <f t="shared" si="1"/>
        <v>0</v>
      </c>
      <c r="K17" s="24" t="e">
        <f t="shared" si="2"/>
        <v>#DIV/0!</v>
      </c>
      <c r="L17" s="70" t="e">
        <f t="shared" si="3"/>
        <v>#DIV/0!</v>
      </c>
      <c r="M17" s="75" t="e">
        <f t="shared" si="4"/>
        <v>#DIV/0!</v>
      </c>
      <c r="N17" s="1"/>
      <c r="O17" s="28"/>
      <c r="P17" s="19" t="s">
        <v>39</v>
      </c>
      <c r="Q17" s="31">
        <f t="shared" si="5"/>
        <v>-2</v>
      </c>
      <c r="R17" s="38"/>
      <c r="AO17" s="102">
        <f>SUM(Мастерская!J87:J88)</f>
        <v>0</v>
      </c>
      <c r="AP17" s="103">
        <f>SUM(Мастерская!J89:J90)</f>
        <v>0</v>
      </c>
      <c r="AQ17" s="103">
        <f>Мастерская!J91</f>
        <v>0</v>
      </c>
      <c r="AR17" s="103">
        <f>Мастерская!J92</f>
        <v>0</v>
      </c>
      <c r="AS17" s="103">
        <f>Мастерская!J93</f>
        <v>0</v>
      </c>
      <c r="AT17" s="103">
        <f>Мастерская!J94</f>
        <v>0</v>
      </c>
      <c r="AU17" s="103">
        <f>Мастерская!J95</f>
        <v>0</v>
      </c>
      <c r="AV17" s="104">
        <f>Мастерская!J96</f>
        <v>0</v>
      </c>
    </row>
    <row r="18" spans="1:48" ht="15" thickTop="1" x14ac:dyDescent="0.3">
      <c r="A18" s="50"/>
      <c r="B18" s="51"/>
      <c r="D18" s="119"/>
      <c r="E18" s="115" t="s">
        <v>16</v>
      </c>
      <c r="F18" s="23"/>
      <c r="G18" s="23"/>
      <c r="H18" s="24" t="e">
        <f t="shared" si="0"/>
        <v>#DIV/0!</v>
      </c>
      <c r="I18" s="33"/>
      <c r="J18" s="21">
        <f t="shared" si="1"/>
        <v>0</v>
      </c>
      <c r="K18" s="24" t="e">
        <f t="shared" si="2"/>
        <v>#DIV/0!</v>
      </c>
      <c r="L18" s="70" t="e">
        <f t="shared" si="3"/>
        <v>#DIV/0!</v>
      </c>
      <c r="M18" s="75" t="e">
        <f t="shared" si="4"/>
        <v>#DIV/0!</v>
      </c>
      <c r="N18" s="1"/>
      <c r="O18" s="28"/>
      <c r="P18" s="19" t="s">
        <v>39</v>
      </c>
      <c r="Q18" s="30">
        <f t="shared" si="5"/>
        <v>-2</v>
      </c>
      <c r="R18" s="38"/>
      <c r="AO18" s="99" t="s">
        <v>156</v>
      </c>
      <c r="AP18" s="100" t="s">
        <v>159</v>
      </c>
      <c r="AQ18" s="100" t="s">
        <v>158</v>
      </c>
      <c r="AR18" s="100" t="s">
        <v>161</v>
      </c>
      <c r="AS18" s="100" t="s">
        <v>162</v>
      </c>
      <c r="AT18" s="100" t="s">
        <v>160</v>
      </c>
      <c r="AU18" s="100" t="s">
        <v>163</v>
      </c>
      <c r="AV18" s="101" t="s">
        <v>164</v>
      </c>
    </row>
    <row r="19" spans="1:48" ht="15" thickBot="1" x14ac:dyDescent="0.35">
      <c r="A19" s="50"/>
      <c r="B19" s="51"/>
      <c r="D19" s="119"/>
      <c r="E19" s="115" t="s">
        <v>16</v>
      </c>
      <c r="F19" s="23"/>
      <c r="G19" s="23"/>
      <c r="H19" s="24" t="e">
        <f t="shared" si="0"/>
        <v>#DIV/0!</v>
      </c>
      <c r="I19" s="33"/>
      <c r="J19" s="21">
        <f t="shared" si="1"/>
        <v>0</v>
      </c>
      <c r="K19" s="24" t="e">
        <f t="shared" si="2"/>
        <v>#DIV/0!</v>
      </c>
      <c r="L19" s="70" t="e">
        <f t="shared" si="3"/>
        <v>#DIV/0!</v>
      </c>
      <c r="M19" s="75" t="e">
        <f t="shared" si="4"/>
        <v>#DIV/0!</v>
      </c>
      <c r="N19" s="1"/>
      <c r="O19" s="28"/>
      <c r="P19" s="19" t="s">
        <v>39</v>
      </c>
      <c r="Q19" s="31">
        <f t="shared" si="5"/>
        <v>-2</v>
      </c>
      <c r="R19" s="38"/>
      <c r="AO19" s="105">
        <f>Мастерская!J97</f>
        <v>0</v>
      </c>
      <c r="AP19" s="106">
        <f>Мастерская!J98</f>
        <v>0</v>
      </c>
      <c r="AQ19" s="106">
        <f>Мастерская!J99</f>
        <v>0</v>
      </c>
      <c r="AR19" s="106">
        <f>Мастерская!J100</f>
        <v>0</v>
      </c>
      <c r="AS19" s="106">
        <f>Мастерская!J101</f>
        <v>0</v>
      </c>
      <c r="AT19" s="106">
        <f>Мастерская!J102</f>
        <v>0</v>
      </c>
      <c r="AU19" s="106">
        <f>Мастерская!J103</f>
        <v>0</v>
      </c>
      <c r="AV19" s="107">
        <f>Мастерская!J104</f>
        <v>0</v>
      </c>
    </row>
    <row r="20" spans="1:48" ht="15" thickBot="1" x14ac:dyDescent="0.35">
      <c r="A20" s="50"/>
      <c r="B20" s="51"/>
      <c r="D20" s="119"/>
      <c r="E20" s="115" t="s">
        <v>16</v>
      </c>
      <c r="F20" s="23"/>
      <c r="G20" s="23"/>
      <c r="H20" s="24" t="e">
        <f t="shared" si="0"/>
        <v>#DIV/0!</v>
      </c>
      <c r="I20" s="33"/>
      <c r="J20" s="21">
        <f t="shared" si="1"/>
        <v>0</v>
      </c>
      <c r="K20" s="24" t="e">
        <f t="shared" si="2"/>
        <v>#DIV/0!</v>
      </c>
      <c r="L20" s="70" t="e">
        <f t="shared" si="3"/>
        <v>#DIV/0!</v>
      </c>
      <c r="M20" s="75" t="e">
        <f t="shared" si="4"/>
        <v>#DIV/0!</v>
      </c>
      <c r="N20" s="1"/>
      <c r="O20" s="28"/>
      <c r="P20" s="19" t="s">
        <v>39</v>
      </c>
      <c r="Q20" s="30">
        <f t="shared" si="5"/>
        <v>-2</v>
      </c>
      <c r="R20" s="38"/>
    </row>
    <row r="21" spans="1:48" ht="15.6" thickTop="1" thickBot="1" x14ac:dyDescent="0.35">
      <c r="A21" s="50"/>
      <c r="B21" s="51"/>
      <c r="D21" s="119"/>
      <c r="E21" s="115" t="s">
        <v>16</v>
      </c>
      <c r="F21" s="23"/>
      <c r="G21" s="23"/>
      <c r="H21" s="24" t="e">
        <f t="shared" si="0"/>
        <v>#DIV/0!</v>
      </c>
      <c r="I21" s="33"/>
      <c r="J21" s="21">
        <f t="shared" si="1"/>
        <v>0</v>
      </c>
      <c r="K21" s="24" t="e">
        <f t="shared" si="2"/>
        <v>#DIV/0!</v>
      </c>
      <c r="L21" s="70" t="e">
        <f t="shared" si="3"/>
        <v>#DIV/0!</v>
      </c>
      <c r="M21" s="75" t="e">
        <f t="shared" si="4"/>
        <v>#DIV/0!</v>
      </c>
      <c r="N21" s="1"/>
      <c r="O21" s="28"/>
      <c r="P21" s="19" t="s">
        <v>39</v>
      </c>
      <c r="Q21" s="31">
        <f t="shared" si="5"/>
        <v>-2</v>
      </c>
      <c r="R21" s="38"/>
      <c r="AO21" s="170" t="s">
        <v>202</v>
      </c>
      <c r="AP21" s="171"/>
      <c r="AQ21" s="171"/>
      <c r="AR21" s="171"/>
      <c r="AS21" s="172"/>
    </row>
    <row r="22" spans="1:48" ht="16.5" customHeight="1" thickTop="1" x14ac:dyDescent="0.3">
      <c r="A22" s="50"/>
      <c r="B22" s="51"/>
      <c r="D22" s="119"/>
      <c r="E22" s="115" t="s">
        <v>16</v>
      </c>
      <c r="F22" s="23"/>
      <c r="G22" s="23"/>
      <c r="H22" s="24" t="e">
        <f t="shared" si="0"/>
        <v>#DIV/0!</v>
      </c>
      <c r="I22" s="33"/>
      <c r="J22" s="21">
        <f t="shared" si="1"/>
        <v>0</v>
      </c>
      <c r="K22" s="24" t="e">
        <f t="shared" si="2"/>
        <v>#DIV/0!</v>
      </c>
      <c r="L22" s="70" t="e">
        <f t="shared" si="3"/>
        <v>#DIV/0!</v>
      </c>
      <c r="M22" s="75" t="e">
        <f t="shared" si="4"/>
        <v>#DIV/0!</v>
      </c>
      <c r="N22" s="1"/>
      <c r="O22" s="28"/>
      <c r="P22" s="19" t="s">
        <v>39</v>
      </c>
      <c r="Q22" s="30">
        <f t="shared" si="5"/>
        <v>-2</v>
      </c>
      <c r="R22" s="38"/>
      <c r="T22" s="42"/>
      <c r="U22" s="42"/>
      <c r="V22" s="42"/>
      <c r="W22" s="42"/>
      <c r="X22" s="42"/>
      <c r="Y22" s="42"/>
      <c r="Z22" s="42"/>
      <c r="AA22" s="42"/>
      <c r="AB22" s="42"/>
      <c r="AO22" s="113" t="s">
        <v>180</v>
      </c>
      <c r="AP22" s="96" t="s">
        <v>181</v>
      </c>
      <c r="AQ22" s="96" t="s">
        <v>182</v>
      </c>
      <c r="AR22" s="112" t="s">
        <v>183</v>
      </c>
      <c r="AS22" s="91" t="s">
        <v>184</v>
      </c>
    </row>
    <row r="23" spans="1:48" ht="15.75" customHeight="1" thickBot="1" x14ac:dyDescent="0.35">
      <c r="A23" s="50"/>
      <c r="B23" s="51"/>
      <c r="D23" s="119"/>
      <c r="E23" s="115" t="s">
        <v>16</v>
      </c>
      <c r="F23" s="23"/>
      <c r="G23" s="23"/>
      <c r="H23" s="24" t="e">
        <f t="shared" si="0"/>
        <v>#DIV/0!</v>
      </c>
      <c r="I23" s="33"/>
      <c r="J23" s="21">
        <f t="shared" si="1"/>
        <v>0</v>
      </c>
      <c r="K23" s="24" t="e">
        <f t="shared" si="2"/>
        <v>#DIV/0!</v>
      </c>
      <c r="L23" s="70" t="e">
        <f t="shared" si="3"/>
        <v>#DIV/0!</v>
      </c>
      <c r="M23" s="75" t="e">
        <f t="shared" si="4"/>
        <v>#DIV/0!</v>
      </c>
      <c r="N23" s="1"/>
      <c r="O23" s="28"/>
      <c r="P23" s="19" t="s">
        <v>39</v>
      </c>
      <c r="Q23" s="31">
        <f t="shared" si="5"/>
        <v>-2</v>
      </c>
      <c r="R23" s="38"/>
      <c r="T23" s="42"/>
      <c r="U23" s="42"/>
      <c r="V23" s="42"/>
      <c r="W23" s="42"/>
      <c r="X23" s="42"/>
      <c r="Y23" s="42"/>
      <c r="Z23" s="42"/>
      <c r="AA23" s="42"/>
      <c r="AO23" s="93">
        <f>COUNTIF(D2:D1048576, "Победитель")</f>
        <v>0</v>
      </c>
      <c r="AP23" s="95">
        <f>COUNTIF(D2:D1048576, "Ничья")</f>
        <v>0</v>
      </c>
      <c r="AQ23" s="95">
        <f>COUNTIF(D2:D1048576, "Двойной шанс")</f>
        <v>0</v>
      </c>
      <c r="AR23" s="95">
        <f>COUNTIF(D2:D1048576, "Победитель (при ничьей - возврат)")</f>
        <v>0</v>
      </c>
      <c r="AS23" s="97">
        <f>COUNTIF(D2:D1048576, "Фора")</f>
        <v>0</v>
      </c>
    </row>
    <row r="24" spans="1:48" ht="15" customHeight="1" thickTop="1" thickBot="1" x14ac:dyDescent="0.35">
      <c r="A24" s="50"/>
      <c r="B24" s="51"/>
      <c r="D24" s="119"/>
      <c r="E24" s="115" t="s">
        <v>16</v>
      </c>
      <c r="F24" s="23"/>
      <c r="G24" s="23"/>
      <c r="H24" s="24" t="e">
        <f t="shared" si="0"/>
        <v>#DIV/0!</v>
      </c>
      <c r="I24" s="33"/>
      <c r="J24" s="21">
        <f t="shared" si="1"/>
        <v>0</v>
      </c>
      <c r="K24" s="24" t="e">
        <f t="shared" si="2"/>
        <v>#DIV/0!</v>
      </c>
      <c r="L24" s="70" t="e">
        <f t="shared" si="3"/>
        <v>#DIV/0!</v>
      </c>
      <c r="M24" s="75" t="e">
        <f t="shared" si="4"/>
        <v>#DIV/0!</v>
      </c>
      <c r="N24" s="1"/>
      <c r="O24" s="28"/>
      <c r="P24" s="19" t="s">
        <v>39</v>
      </c>
      <c r="Q24" s="30">
        <f t="shared" si="5"/>
        <v>-2</v>
      </c>
      <c r="R24" s="38"/>
      <c r="T24" s="42"/>
      <c r="U24" s="42"/>
      <c r="V24" s="42"/>
      <c r="W24" s="42"/>
      <c r="X24" s="42"/>
      <c r="Y24" s="42"/>
      <c r="Z24" s="42"/>
      <c r="AA24" s="42"/>
      <c r="AB24" s="42"/>
      <c r="AO24" s="92" t="s">
        <v>185</v>
      </c>
      <c r="AP24" s="94" t="s">
        <v>186</v>
      </c>
      <c r="AQ24" s="120" t="s">
        <v>187</v>
      </c>
      <c r="AR24" s="94" t="s">
        <v>189</v>
      </c>
      <c r="AS24" s="98" t="s">
        <v>190</v>
      </c>
    </row>
    <row r="25" spans="1:48" ht="15" customHeight="1" thickTop="1" thickBot="1" x14ac:dyDescent="0.35">
      <c r="A25" s="53"/>
      <c r="B25" s="54"/>
      <c r="D25" s="119"/>
      <c r="E25" s="115" t="s">
        <v>16</v>
      </c>
      <c r="F25" s="23"/>
      <c r="G25" s="23"/>
      <c r="H25" s="24" t="e">
        <f t="shared" si="0"/>
        <v>#DIV/0!</v>
      </c>
      <c r="I25" s="33"/>
      <c r="J25" s="21">
        <f t="shared" si="1"/>
        <v>0</v>
      </c>
      <c r="K25" s="24" t="e">
        <f t="shared" si="2"/>
        <v>#DIV/0!</v>
      </c>
      <c r="L25" s="70" t="e">
        <f t="shared" si="3"/>
        <v>#DIV/0!</v>
      </c>
      <c r="M25" s="75" t="e">
        <f t="shared" si="4"/>
        <v>#DIV/0!</v>
      </c>
      <c r="N25" s="1"/>
      <c r="O25" s="28"/>
      <c r="P25" s="19" t="s">
        <v>39</v>
      </c>
      <c r="Q25" s="31">
        <f t="shared" si="5"/>
        <v>-2</v>
      </c>
      <c r="R25" s="38"/>
      <c r="U25" s="59"/>
      <c r="W25" s="60"/>
      <c r="AL25" s="80" t="s">
        <v>242</v>
      </c>
      <c r="AM25" s="12" t="s">
        <v>243</v>
      </c>
      <c r="AO25" s="93">
        <f>COUNTIF(D2:D1048576, "Тотал")</f>
        <v>0</v>
      </c>
      <c r="AP25" s="95">
        <f>COUNTIF(D2:D1048576, "Точный счёт")</f>
        <v>0</v>
      </c>
      <c r="AQ25" s="95">
        <f>COUNTIF(D2:D1048576,"Точный счёт + исход ""Другой""")</f>
        <v>0</v>
      </c>
      <c r="AR25" s="95">
        <f>COUNTIF(D2:D1048576, "Кол-во голов")</f>
        <v>0</v>
      </c>
      <c r="AS25" s="97">
        <f>COUNTIF(D2:D1048576, "Инд. Тотал")</f>
        <v>0</v>
      </c>
    </row>
    <row r="26" spans="1:48" ht="15.75" customHeight="1" thickTop="1" thickBot="1" x14ac:dyDescent="0.35">
      <c r="A26" s="50"/>
      <c r="B26" s="51"/>
      <c r="D26" s="119"/>
      <c r="E26" s="115" t="s">
        <v>16</v>
      </c>
      <c r="F26" s="25"/>
      <c r="G26" s="25"/>
      <c r="H26" s="26" t="e">
        <f>(F26*100)/G26</f>
        <v>#DIV/0!</v>
      </c>
      <c r="I26" s="36"/>
      <c r="J26" s="21">
        <f t="shared" si="1"/>
        <v>0</v>
      </c>
      <c r="K26" s="26" t="e">
        <f t="shared" si="2"/>
        <v>#DIV/0!</v>
      </c>
      <c r="L26" s="72" t="e">
        <f t="shared" si="3"/>
        <v>#DIV/0!</v>
      </c>
      <c r="M26" s="77" t="e">
        <f t="shared" si="4"/>
        <v>#DIV/0!</v>
      </c>
      <c r="N26" s="4"/>
      <c r="O26" s="28"/>
      <c r="P26" s="19" t="s">
        <v>39</v>
      </c>
      <c r="Q26" s="30">
        <f t="shared" si="5"/>
        <v>-2</v>
      </c>
      <c r="R26" s="38"/>
      <c r="AL26" s="139">
        <f>SUM(A2:A71)</f>
        <v>0</v>
      </c>
      <c r="AM26" s="140">
        <f>SUM(B2:B71)</f>
        <v>0</v>
      </c>
      <c r="AO26" s="92" t="s">
        <v>191</v>
      </c>
      <c r="AP26" s="94" t="s">
        <v>192</v>
      </c>
      <c r="AQ26" s="94" t="s">
        <v>193</v>
      </c>
      <c r="AR26" s="94" t="s">
        <v>194</v>
      </c>
      <c r="AS26" s="98" t="s">
        <v>195</v>
      </c>
    </row>
    <row r="27" spans="1:48" ht="15.75" customHeight="1" thickTop="1" thickBot="1" x14ac:dyDescent="0.35">
      <c r="A27" s="50"/>
      <c r="B27" s="51"/>
      <c r="D27" s="119"/>
      <c r="E27" s="115" t="s">
        <v>16</v>
      </c>
      <c r="F27" s="23"/>
      <c r="G27" s="23"/>
      <c r="H27" s="24" t="e">
        <f t="shared" ref="H27:H71" si="6">(F27*100)/G27</f>
        <v>#DIV/0!</v>
      </c>
      <c r="I27" s="33"/>
      <c r="J27" s="21">
        <f t="shared" si="1"/>
        <v>0</v>
      </c>
      <c r="K27" s="24" t="e">
        <f t="shared" si="2"/>
        <v>#DIV/0!</v>
      </c>
      <c r="L27" s="70" t="e">
        <f t="shared" si="3"/>
        <v>#DIV/0!</v>
      </c>
      <c r="M27" s="75" t="e">
        <f t="shared" si="4"/>
        <v>#DIV/0!</v>
      </c>
      <c r="N27" s="1"/>
      <c r="O27" s="28"/>
      <c r="P27" s="19" t="s">
        <v>39</v>
      </c>
      <c r="Q27" s="31">
        <f t="shared" si="5"/>
        <v>-2</v>
      </c>
      <c r="R27" s="38"/>
      <c r="AL27" s="196" t="s">
        <v>244</v>
      </c>
      <c r="AM27" s="197"/>
      <c r="AO27" s="93">
        <f>COUNTIF(D2:D1048576, "Обе команды забьют")</f>
        <v>0</v>
      </c>
      <c r="AP27" s="95">
        <f>COUNTIF(D2:D1048576, "Сколько команд забьёт")</f>
        <v>0</v>
      </c>
      <c r="AQ27" s="95">
        <f>COUNTIF(D2:D1048576, "Кто забьёт 1-й гол")</f>
        <v>0</v>
      </c>
      <c r="AR27" s="95">
        <f>COUNTIF(D2:D1048576, "Кто забьёт последний гол")</f>
        <v>0</v>
      </c>
      <c r="AS27" s="97">
        <f>COUNTIF(D2:D1048576, "Наиболее результативный тайм")</f>
        <v>0</v>
      </c>
    </row>
    <row r="28" spans="1:48" ht="15.75" customHeight="1" thickTop="1" thickBot="1" x14ac:dyDescent="0.35">
      <c r="A28" s="50"/>
      <c r="B28" s="51"/>
      <c r="D28" s="119"/>
      <c r="E28" s="115" t="s">
        <v>16</v>
      </c>
      <c r="F28" s="23"/>
      <c r="G28" s="23"/>
      <c r="H28" s="24" t="e">
        <f t="shared" si="6"/>
        <v>#DIV/0!</v>
      </c>
      <c r="I28" s="33"/>
      <c r="J28" s="21">
        <f t="shared" si="1"/>
        <v>0</v>
      </c>
      <c r="K28" s="24" t="e">
        <f t="shared" si="2"/>
        <v>#DIV/0!</v>
      </c>
      <c r="L28" s="70" t="e">
        <f t="shared" si="3"/>
        <v>#DIV/0!</v>
      </c>
      <c r="M28" s="75" t="e">
        <f t="shared" si="4"/>
        <v>#DIV/0!</v>
      </c>
      <c r="N28" s="1"/>
      <c r="O28" s="28"/>
      <c r="P28" s="19" t="s">
        <v>39</v>
      </c>
      <c r="Q28" s="30">
        <f t="shared" si="5"/>
        <v>-2</v>
      </c>
      <c r="R28" s="38"/>
      <c r="AL28" s="198">
        <f>(AM26-AL26)</f>
        <v>0</v>
      </c>
      <c r="AM28" s="199"/>
      <c r="AO28" s="92" t="s">
        <v>196</v>
      </c>
      <c r="AP28" s="94" t="s">
        <v>197</v>
      </c>
      <c r="AQ28" s="94" t="s">
        <v>198</v>
      </c>
      <c r="AR28" s="94" t="s">
        <v>203</v>
      </c>
      <c r="AS28" s="98" t="s">
        <v>199</v>
      </c>
    </row>
    <row r="29" spans="1:48" ht="15.75" customHeight="1" thickBot="1" x14ac:dyDescent="0.35">
      <c r="A29" s="50"/>
      <c r="B29" s="51"/>
      <c r="D29" s="119"/>
      <c r="E29" s="115" t="s">
        <v>16</v>
      </c>
      <c r="F29" s="23"/>
      <c r="G29" s="23"/>
      <c r="H29" s="24" t="e">
        <f t="shared" si="6"/>
        <v>#DIV/0!</v>
      </c>
      <c r="I29" s="33"/>
      <c r="J29" s="21">
        <f t="shared" si="1"/>
        <v>0</v>
      </c>
      <c r="K29" s="24" t="e">
        <f t="shared" si="2"/>
        <v>#DIV/0!</v>
      </c>
      <c r="L29" s="70" t="e">
        <f t="shared" si="3"/>
        <v>#DIV/0!</v>
      </c>
      <c r="M29" s="75" t="e">
        <f t="shared" si="4"/>
        <v>#DIV/0!</v>
      </c>
      <c r="N29" s="1"/>
      <c r="O29" s="28"/>
      <c r="P29" s="19" t="s">
        <v>39</v>
      </c>
      <c r="Q29" s="31">
        <f t="shared" si="5"/>
        <v>-2</v>
      </c>
      <c r="R29" s="38"/>
      <c r="AO29" s="93">
        <f>COUNTIF(D2:D1048576, "Чет/нечет")</f>
        <v>0</v>
      </c>
      <c r="AP29" s="95">
        <f>COUNTIF(D2:D1048576, "Победитель + Разница мячей")</f>
        <v>0</v>
      </c>
      <c r="AQ29" s="95">
        <f>COUNTIF(D2:D1048576, "Победитель + Обе забьют")</f>
        <v>0</v>
      </c>
      <c r="AR29" s="95">
        <f>COUNTIF(D2:D1048576, "Победитель + Тотал")</f>
        <v>0</v>
      </c>
      <c r="AS29" s="97">
        <f>COUNTIF(D2:D1048576, "Автор гола")</f>
        <v>0</v>
      </c>
    </row>
    <row r="30" spans="1:48" ht="15.75" customHeight="1" thickTop="1" x14ac:dyDescent="0.3">
      <c r="A30" s="50"/>
      <c r="B30" s="51"/>
      <c r="D30" s="119"/>
      <c r="E30" s="115" t="s">
        <v>16</v>
      </c>
      <c r="F30" s="23"/>
      <c r="G30" s="23"/>
      <c r="H30" s="24" t="e">
        <f t="shared" si="6"/>
        <v>#DIV/0!</v>
      </c>
      <c r="I30" s="33"/>
      <c r="J30" s="21">
        <f t="shared" si="1"/>
        <v>0</v>
      </c>
      <c r="K30" s="24" t="e">
        <f t="shared" si="2"/>
        <v>#DIV/0!</v>
      </c>
      <c r="L30" s="70" t="e">
        <f t="shared" si="3"/>
        <v>#DIV/0!</v>
      </c>
      <c r="M30" s="75" t="e">
        <f t="shared" si="4"/>
        <v>#DIV/0!</v>
      </c>
      <c r="N30" s="1"/>
      <c r="O30" s="28"/>
      <c r="P30" s="19" t="s">
        <v>39</v>
      </c>
      <c r="Q30" s="30">
        <f t="shared" si="5"/>
        <v>-2</v>
      </c>
      <c r="R30" s="38"/>
      <c r="AO30" s="92" t="s">
        <v>200</v>
      </c>
      <c r="AP30" s="94" t="s">
        <v>201</v>
      </c>
      <c r="AQ30" s="94"/>
      <c r="AR30" s="94"/>
      <c r="AS30" s="98"/>
    </row>
    <row r="31" spans="1:48" ht="15.75" customHeight="1" thickBot="1" x14ac:dyDescent="0.35">
      <c r="A31" s="50"/>
      <c r="B31" s="54"/>
      <c r="D31" s="119"/>
      <c r="E31" s="115" t="s">
        <v>16</v>
      </c>
      <c r="F31" s="23"/>
      <c r="G31" s="23"/>
      <c r="H31" s="24" t="e">
        <f t="shared" si="6"/>
        <v>#DIV/0!</v>
      </c>
      <c r="I31" s="33"/>
      <c r="J31" s="21">
        <f t="shared" si="1"/>
        <v>0</v>
      </c>
      <c r="K31" s="24" t="e">
        <f t="shared" si="2"/>
        <v>#DIV/0!</v>
      </c>
      <c r="L31" s="70" t="e">
        <f t="shared" si="3"/>
        <v>#DIV/0!</v>
      </c>
      <c r="M31" s="75" t="e">
        <f t="shared" si="4"/>
        <v>#DIV/0!</v>
      </c>
      <c r="N31" s="1"/>
      <c r="O31" s="28"/>
      <c r="P31" s="19" t="s">
        <v>39</v>
      </c>
      <c r="Q31" s="31">
        <f t="shared" si="5"/>
        <v>-2</v>
      </c>
      <c r="R31" s="38"/>
      <c r="AO31" s="121">
        <f>COUNTIF(D2:D1048576, "Лучший бомбардир")</f>
        <v>0</v>
      </c>
      <c r="AP31" s="122">
        <f>COUNTIF(D2:D1048576, "Победитель турнира")</f>
        <v>0</v>
      </c>
      <c r="AQ31" s="122"/>
      <c r="AR31" s="122"/>
      <c r="AS31" s="123"/>
    </row>
    <row r="32" spans="1:48" ht="15.75" customHeight="1" x14ac:dyDescent="0.3">
      <c r="A32" s="55"/>
      <c r="B32" s="51"/>
      <c r="D32" s="119"/>
      <c r="E32" s="115" t="s">
        <v>16</v>
      </c>
      <c r="F32" s="23"/>
      <c r="G32" s="23"/>
      <c r="H32" s="24" t="e">
        <f t="shared" si="6"/>
        <v>#DIV/0!</v>
      </c>
      <c r="I32" s="33"/>
      <c r="J32" s="21">
        <f t="shared" si="1"/>
        <v>0</v>
      </c>
      <c r="K32" s="24" t="e">
        <f t="shared" si="2"/>
        <v>#DIV/0!</v>
      </c>
      <c r="L32" s="70" t="e">
        <f t="shared" si="3"/>
        <v>#DIV/0!</v>
      </c>
      <c r="M32" s="75" t="e">
        <f t="shared" si="4"/>
        <v>#DIV/0!</v>
      </c>
      <c r="N32" s="1"/>
      <c r="O32" s="28"/>
      <c r="P32" s="19" t="s">
        <v>39</v>
      </c>
      <c r="Q32" s="30">
        <f t="shared" si="5"/>
        <v>-2</v>
      </c>
      <c r="R32" s="38"/>
    </row>
    <row r="33" spans="1:18" ht="15" customHeight="1" x14ac:dyDescent="0.3">
      <c r="A33" s="50"/>
      <c r="B33" s="49"/>
      <c r="D33" s="119"/>
      <c r="E33" s="115" t="s">
        <v>16</v>
      </c>
      <c r="F33" s="23"/>
      <c r="G33" s="23"/>
      <c r="H33" s="24" t="e">
        <f t="shared" si="6"/>
        <v>#DIV/0!</v>
      </c>
      <c r="I33" s="33"/>
      <c r="J33" s="21">
        <f t="shared" si="1"/>
        <v>0</v>
      </c>
      <c r="K33" s="24" t="e">
        <f t="shared" si="2"/>
        <v>#DIV/0!</v>
      </c>
      <c r="L33" s="70" t="e">
        <f t="shared" si="3"/>
        <v>#DIV/0!</v>
      </c>
      <c r="M33" s="75" t="e">
        <f t="shared" si="4"/>
        <v>#DIV/0!</v>
      </c>
      <c r="N33" s="1"/>
      <c r="O33" s="28"/>
      <c r="P33" s="19" t="s">
        <v>39</v>
      </c>
      <c r="Q33" s="30">
        <f t="shared" si="5"/>
        <v>-2</v>
      </c>
      <c r="R33" s="38"/>
    </row>
    <row r="34" spans="1:18" ht="15" customHeight="1" x14ac:dyDescent="0.3">
      <c r="A34" s="50"/>
      <c r="B34" s="51"/>
      <c r="D34" s="119"/>
      <c r="E34" s="115" t="s">
        <v>16</v>
      </c>
      <c r="F34" s="23"/>
      <c r="G34" s="23"/>
      <c r="H34" s="24" t="e">
        <f t="shared" si="6"/>
        <v>#DIV/0!</v>
      </c>
      <c r="I34" s="33"/>
      <c r="J34" s="21">
        <f t="shared" si="1"/>
        <v>0</v>
      </c>
      <c r="K34" s="24" t="e">
        <f t="shared" si="2"/>
        <v>#DIV/0!</v>
      </c>
      <c r="L34" s="70" t="e">
        <f t="shared" si="3"/>
        <v>#DIV/0!</v>
      </c>
      <c r="M34" s="75" t="e">
        <f t="shared" si="4"/>
        <v>#DIV/0!</v>
      </c>
      <c r="N34" s="1"/>
      <c r="O34" s="28"/>
      <c r="P34" s="19" t="s">
        <v>39</v>
      </c>
      <c r="Q34" s="30">
        <f t="shared" si="5"/>
        <v>-2</v>
      </c>
      <c r="R34" s="38"/>
    </row>
    <row r="35" spans="1:18" ht="15" customHeight="1" x14ac:dyDescent="0.3">
      <c r="A35" s="50"/>
      <c r="B35" s="51"/>
      <c r="D35" s="119"/>
      <c r="E35" s="115" t="s">
        <v>16</v>
      </c>
      <c r="F35" s="23"/>
      <c r="G35" s="23"/>
      <c r="H35" s="24" t="e">
        <f t="shared" si="6"/>
        <v>#DIV/0!</v>
      </c>
      <c r="I35" s="33"/>
      <c r="J35" s="21">
        <f t="shared" si="1"/>
        <v>0</v>
      </c>
      <c r="K35" s="24" t="e">
        <f t="shared" si="2"/>
        <v>#DIV/0!</v>
      </c>
      <c r="L35" s="70" t="e">
        <f t="shared" si="3"/>
        <v>#DIV/0!</v>
      </c>
      <c r="M35" s="75" t="e">
        <f t="shared" si="4"/>
        <v>#DIV/0!</v>
      </c>
      <c r="N35" s="1"/>
      <c r="O35" s="28"/>
      <c r="P35" s="19" t="s">
        <v>39</v>
      </c>
      <c r="Q35" s="30">
        <f t="shared" si="5"/>
        <v>-2</v>
      </c>
      <c r="R35" s="38"/>
    </row>
    <row r="36" spans="1:18" ht="15" customHeight="1" x14ac:dyDescent="0.3">
      <c r="A36" s="50"/>
      <c r="B36" s="51"/>
      <c r="D36" s="119"/>
      <c r="E36" s="115" t="s">
        <v>16</v>
      </c>
      <c r="F36" s="23"/>
      <c r="G36" s="23"/>
      <c r="H36" s="24" t="e">
        <f t="shared" si="6"/>
        <v>#DIV/0!</v>
      </c>
      <c r="I36" s="33"/>
      <c r="J36" s="21">
        <f t="shared" si="1"/>
        <v>0</v>
      </c>
      <c r="K36" s="24" t="e">
        <f t="shared" si="2"/>
        <v>#DIV/0!</v>
      </c>
      <c r="L36" s="70" t="e">
        <f t="shared" si="3"/>
        <v>#DIV/0!</v>
      </c>
      <c r="M36" s="75" t="e">
        <f t="shared" si="4"/>
        <v>#DIV/0!</v>
      </c>
      <c r="N36" s="1"/>
      <c r="O36" s="28"/>
      <c r="P36" s="19" t="s">
        <v>39</v>
      </c>
      <c r="Q36" s="30">
        <f t="shared" si="5"/>
        <v>-2</v>
      </c>
      <c r="R36" s="38"/>
    </row>
    <row r="37" spans="1:18" ht="15" customHeight="1" x14ac:dyDescent="0.3">
      <c r="A37" s="50"/>
      <c r="B37" s="51"/>
      <c r="D37" s="119"/>
      <c r="E37" s="115" t="s">
        <v>16</v>
      </c>
      <c r="F37" s="23"/>
      <c r="G37" s="23"/>
      <c r="H37" s="24" t="e">
        <f t="shared" si="6"/>
        <v>#DIV/0!</v>
      </c>
      <c r="I37" s="33"/>
      <c r="J37" s="21">
        <f t="shared" si="1"/>
        <v>0</v>
      </c>
      <c r="K37" s="24" t="e">
        <f t="shared" si="2"/>
        <v>#DIV/0!</v>
      </c>
      <c r="L37" s="70" t="e">
        <f t="shared" si="3"/>
        <v>#DIV/0!</v>
      </c>
      <c r="M37" s="75" t="e">
        <f t="shared" si="4"/>
        <v>#DIV/0!</v>
      </c>
      <c r="N37" s="1"/>
      <c r="O37" s="28"/>
      <c r="P37" s="19" t="s">
        <v>39</v>
      </c>
      <c r="Q37" s="30">
        <f t="shared" si="5"/>
        <v>-2</v>
      </c>
      <c r="R37" s="38"/>
    </row>
    <row r="38" spans="1:18" ht="15" customHeight="1" x14ac:dyDescent="0.3">
      <c r="A38" s="50"/>
      <c r="B38" s="51"/>
      <c r="D38" s="119"/>
      <c r="E38" s="115" t="s">
        <v>16</v>
      </c>
      <c r="F38" s="23"/>
      <c r="G38" s="23"/>
      <c r="H38" s="24" t="e">
        <f t="shared" si="6"/>
        <v>#DIV/0!</v>
      </c>
      <c r="I38" s="33"/>
      <c r="J38" s="21">
        <f t="shared" si="1"/>
        <v>0</v>
      </c>
      <c r="K38" s="24" t="e">
        <f t="shared" si="2"/>
        <v>#DIV/0!</v>
      </c>
      <c r="L38" s="70" t="e">
        <f t="shared" si="3"/>
        <v>#DIV/0!</v>
      </c>
      <c r="M38" s="75" t="e">
        <f t="shared" si="4"/>
        <v>#DIV/0!</v>
      </c>
      <c r="N38" s="1"/>
      <c r="O38" s="28"/>
      <c r="P38" s="19" t="s">
        <v>39</v>
      </c>
      <c r="Q38" s="30">
        <f t="shared" si="5"/>
        <v>-2</v>
      </c>
      <c r="R38" s="38"/>
    </row>
    <row r="39" spans="1:18" ht="15" customHeight="1" x14ac:dyDescent="0.3">
      <c r="A39" s="50"/>
      <c r="B39" s="51"/>
      <c r="D39" s="119"/>
      <c r="E39" s="115" t="s">
        <v>16</v>
      </c>
      <c r="F39" s="23"/>
      <c r="G39" s="23"/>
      <c r="H39" s="24" t="e">
        <f t="shared" si="6"/>
        <v>#DIV/0!</v>
      </c>
      <c r="I39" s="33"/>
      <c r="J39" s="21">
        <f t="shared" si="1"/>
        <v>0</v>
      </c>
      <c r="K39" s="24" t="e">
        <f t="shared" si="2"/>
        <v>#DIV/0!</v>
      </c>
      <c r="L39" s="70" t="e">
        <f t="shared" si="3"/>
        <v>#DIV/0!</v>
      </c>
      <c r="M39" s="75" t="e">
        <f t="shared" si="4"/>
        <v>#DIV/0!</v>
      </c>
      <c r="N39" s="1"/>
      <c r="O39" s="28"/>
      <c r="P39" s="19" t="s">
        <v>39</v>
      </c>
      <c r="Q39" s="30">
        <f t="shared" si="5"/>
        <v>-2</v>
      </c>
      <c r="R39" s="38"/>
    </row>
    <row r="40" spans="1:18" ht="15" customHeight="1" x14ac:dyDescent="0.3">
      <c r="A40" s="50"/>
      <c r="B40" s="51"/>
      <c r="D40" s="119"/>
      <c r="E40" s="115" t="s">
        <v>16</v>
      </c>
      <c r="F40" s="23"/>
      <c r="G40" s="23"/>
      <c r="H40" s="24" t="e">
        <f t="shared" si="6"/>
        <v>#DIV/0!</v>
      </c>
      <c r="I40" s="33"/>
      <c r="J40" s="21">
        <f t="shared" si="1"/>
        <v>0</v>
      </c>
      <c r="K40" s="24" t="e">
        <f t="shared" si="2"/>
        <v>#DIV/0!</v>
      </c>
      <c r="L40" s="70" t="e">
        <f t="shared" si="3"/>
        <v>#DIV/0!</v>
      </c>
      <c r="M40" s="75" t="e">
        <f t="shared" si="4"/>
        <v>#DIV/0!</v>
      </c>
      <c r="N40" s="1"/>
      <c r="O40" s="28"/>
      <c r="P40" s="19" t="s">
        <v>39</v>
      </c>
      <c r="Q40" s="30">
        <f t="shared" si="5"/>
        <v>-2</v>
      </c>
      <c r="R40" s="38"/>
    </row>
    <row r="41" spans="1:18" ht="15" customHeight="1" x14ac:dyDescent="0.3">
      <c r="A41" s="50"/>
      <c r="B41" s="51"/>
      <c r="D41" s="119"/>
      <c r="E41" s="115" t="s">
        <v>16</v>
      </c>
      <c r="F41" s="23"/>
      <c r="G41" s="23"/>
      <c r="H41" s="24" t="e">
        <f t="shared" si="6"/>
        <v>#DIV/0!</v>
      </c>
      <c r="I41" s="33"/>
      <c r="J41" s="21">
        <f t="shared" si="1"/>
        <v>0</v>
      </c>
      <c r="K41" s="24" t="e">
        <f t="shared" si="2"/>
        <v>#DIV/0!</v>
      </c>
      <c r="L41" s="70" t="e">
        <f t="shared" si="3"/>
        <v>#DIV/0!</v>
      </c>
      <c r="M41" s="75" t="e">
        <f t="shared" si="4"/>
        <v>#DIV/0!</v>
      </c>
      <c r="N41" s="1"/>
      <c r="O41" s="28"/>
      <c r="P41" s="19" t="s">
        <v>39</v>
      </c>
      <c r="Q41" s="30">
        <f t="shared" si="5"/>
        <v>-2</v>
      </c>
      <c r="R41" s="38"/>
    </row>
    <row r="42" spans="1:18" ht="15" customHeight="1" x14ac:dyDescent="0.3">
      <c r="A42" s="50"/>
      <c r="B42" s="51"/>
      <c r="D42" s="119"/>
      <c r="E42" s="115" t="s">
        <v>16</v>
      </c>
      <c r="F42" s="23"/>
      <c r="G42" s="23"/>
      <c r="H42" s="24" t="e">
        <f t="shared" si="6"/>
        <v>#DIV/0!</v>
      </c>
      <c r="I42" s="33"/>
      <c r="J42" s="21">
        <f t="shared" si="1"/>
        <v>0</v>
      </c>
      <c r="K42" s="24" t="e">
        <f t="shared" si="2"/>
        <v>#DIV/0!</v>
      </c>
      <c r="L42" s="70" t="e">
        <f t="shared" si="3"/>
        <v>#DIV/0!</v>
      </c>
      <c r="M42" s="75" t="e">
        <f t="shared" si="4"/>
        <v>#DIV/0!</v>
      </c>
      <c r="N42" s="1"/>
      <c r="O42" s="28"/>
      <c r="P42" s="19" t="s">
        <v>39</v>
      </c>
      <c r="Q42" s="30">
        <f t="shared" si="5"/>
        <v>-2</v>
      </c>
      <c r="R42" s="38"/>
    </row>
    <row r="43" spans="1:18" ht="15" customHeight="1" x14ac:dyDescent="0.3">
      <c r="A43" s="50"/>
      <c r="B43" s="51"/>
      <c r="D43" s="119"/>
      <c r="E43" s="115" t="s">
        <v>16</v>
      </c>
      <c r="F43" s="23"/>
      <c r="G43" s="23"/>
      <c r="H43" s="24" t="e">
        <f t="shared" si="6"/>
        <v>#DIV/0!</v>
      </c>
      <c r="I43" s="33"/>
      <c r="J43" s="21">
        <f t="shared" si="1"/>
        <v>0</v>
      </c>
      <c r="K43" s="24" t="e">
        <f t="shared" si="2"/>
        <v>#DIV/0!</v>
      </c>
      <c r="L43" s="70" t="e">
        <f t="shared" si="3"/>
        <v>#DIV/0!</v>
      </c>
      <c r="M43" s="75" t="e">
        <f t="shared" si="4"/>
        <v>#DIV/0!</v>
      </c>
      <c r="N43" s="1"/>
      <c r="O43" s="28"/>
      <c r="P43" s="19" t="s">
        <v>39</v>
      </c>
      <c r="Q43" s="30">
        <f t="shared" si="5"/>
        <v>-2</v>
      </c>
      <c r="R43" s="38"/>
    </row>
    <row r="44" spans="1:18" ht="15" customHeight="1" x14ac:dyDescent="0.3">
      <c r="A44" s="50"/>
      <c r="B44" s="51"/>
      <c r="D44" s="119"/>
      <c r="E44" s="115" t="s">
        <v>16</v>
      </c>
      <c r="F44" s="23"/>
      <c r="G44" s="23"/>
      <c r="H44" s="24" t="e">
        <f t="shared" si="6"/>
        <v>#DIV/0!</v>
      </c>
      <c r="I44" s="33"/>
      <c r="J44" s="21">
        <f t="shared" si="1"/>
        <v>0</v>
      </c>
      <c r="K44" s="24" t="e">
        <f t="shared" si="2"/>
        <v>#DIV/0!</v>
      </c>
      <c r="L44" s="70" t="e">
        <f t="shared" si="3"/>
        <v>#DIV/0!</v>
      </c>
      <c r="M44" s="75" t="e">
        <f t="shared" si="4"/>
        <v>#DIV/0!</v>
      </c>
      <c r="N44" s="1"/>
      <c r="O44" s="28"/>
      <c r="P44" s="19" t="s">
        <v>39</v>
      </c>
      <c r="Q44" s="30">
        <f t="shared" si="5"/>
        <v>-2</v>
      </c>
      <c r="R44" s="38"/>
    </row>
    <row r="45" spans="1:18" x14ac:dyDescent="0.3">
      <c r="A45" s="50"/>
      <c r="B45" s="51"/>
      <c r="D45" s="119"/>
      <c r="E45" s="115" t="s">
        <v>16</v>
      </c>
      <c r="F45" s="23"/>
      <c r="G45" s="23"/>
      <c r="H45" s="24" t="e">
        <f t="shared" si="6"/>
        <v>#DIV/0!</v>
      </c>
      <c r="I45" s="33"/>
      <c r="J45" s="21">
        <f t="shared" si="1"/>
        <v>0</v>
      </c>
      <c r="K45" s="24" t="e">
        <f t="shared" si="2"/>
        <v>#DIV/0!</v>
      </c>
      <c r="L45" s="70" t="e">
        <f t="shared" si="3"/>
        <v>#DIV/0!</v>
      </c>
      <c r="M45" s="75" t="e">
        <f t="shared" si="4"/>
        <v>#DIV/0!</v>
      </c>
      <c r="N45" s="1"/>
      <c r="O45" s="28"/>
      <c r="P45" s="19" t="s">
        <v>39</v>
      </c>
      <c r="Q45" s="30">
        <f t="shared" si="5"/>
        <v>-2</v>
      </c>
      <c r="R45" s="38"/>
    </row>
    <row r="46" spans="1:18" x14ac:dyDescent="0.3">
      <c r="A46" s="50"/>
      <c r="B46" s="51"/>
      <c r="D46" s="119"/>
      <c r="E46" s="115" t="s">
        <v>16</v>
      </c>
      <c r="F46" s="23"/>
      <c r="G46" s="23"/>
      <c r="H46" s="24" t="e">
        <f t="shared" si="6"/>
        <v>#DIV/0!</v>
      </c>
      <c r="I46" s="33"/>
      <c r="J46" s="21">
        <f t="shared" si="1"/>
        <v>0</v>
      </c>
      <c r="K46" s="24" t="e">
        <f t="shared" si="2"/>
        <v>#DIV/0!</v>
      </c>
      <c r="L46" s="70" t="e">
        <f t="shared" si="3"/>
        <v>#DIV/0!</v>
      </c>
      <c r="M46" s="75" t="e">
        <f t="shared" si="4"/>
        <v>#DIV/0!</v>
      </c>
      <c r="N46" s="1"/>
      <c r="O46" s="28"/>
      <c r="P46" s="19" t="s">
        <v>39</v>
      </c>
      <c r="Q46" s="30">
        <f t="shared" si="5"/>
        <v>-2</v>
      </c>
      <c r="R46" s="38"/>
    </row>
    <row r="47" spans="1:18" x14ac:dyDescent="0.3">
      <c r="A47" s="50"/>
      <c r="B47" s="51"/>
      <c r="D47" s="119"/>
      <c r="E47" s="115" t="s">
        <v>16</v>
      </c>
      <c r="F47" s="23"/>
      <c r="G47" s="23"/>
      <c r="H47" s="24" t="e">
        <f t="shared" si="6"/>
        <v>#DIV/0!</v>
      </c>
      <c r="I47" s="33"/>
      <c r="J47" s="21">
        <f t="shared" si="1"/>
        <v>0</v>
      </c>
      <c r="K47" s="24" t="e">
        <f t="shared" si="2"/>
        <v>#DIV/0!</v>
      </c>
      <c r="L47" s="70" t="e">
        <f t="shared" si="3"/>
        <v>#DIV/0!</v>
      </c>
      <c r="M47" s="75" t="e">
        <f t="shared" si="4"/>
        <v>#DIV/0!</v>
      </c>
      <c r="N47" s="1"/>
      <c r="O47" s="28"/>
      <c r="P47" s="19" t="s">
        <v>39</v>
      </c>
      <c r="Q47" s="30">
        <f t="shared" si="5"/>
        <v>-2</v>
      </c>
      <c r="R47" s="38"/>
    </row>
    <row r="48" spans="1:18" x14ac:dyDescent="0.3">
      <c r="A48" s="50"/>
      <c r="B48" s="51"/>
      <c r="D48" s="119"/>
      <c r="E48" s="115" t="s">
        <v>16</v>
      </c>
      <c r="F48" s="23"/>
      <c r="G48" s="23"/>
      <c r="H48" s="24" t="e">
        <f t="shared" si="6"/>
        <v>#DIV/0!</v>
      </c>
      <c r="I48" s="33"/>
      <c r="J48" s="21">
        <f t="shared" si="1"/>
        <v>0</v>
      </c>
      <c r="K48" s="24" t="e">
        <f t="shared" si="2"/>
        <v>#DIV/0!</v>
      </c>
      <c r="L48" s="70" t="e">
        <f t="shared" si="3"/>
        <v>#DIV/0!</v>
      </c>
      <c r="M48" s="75" t="e">
        <f t="shared" si="4"/>
        <v>#DIV/0!</v>
      </c>
      <c r="N48" s="1"/>
      <c r="O48" s="28"/>
      <c r="P48" s="19" t="s">
        <v>39</v>
      </c>
      <c r="Q48" s="30">
        <f t="shared" si="5"/>
        <v>-2</v>
      </c>
      <c r="R48" s="38"/>
    </row>
    <row r="49" spans="1:18" x14ac:dyDescent="0.3">
      <c r="A49" s="53"/>
      <c r="B49" s="54"/>
      <c r="D49" s="119"/>
      <c r="E49" s="115" t="s">
        <v>16</v>
      </c>
      <c r="F49" s="23"/>
      <c r="G49" s="23"/>
      <c r="H49" s="24" t="e">
        <f t="shared" si="6"/>
        <v>#DIV/0!</v>
      </c>
      <c r="I49" s="33"/>
      <c r="J49" s="21">
        <f t="shared" si="1"/>
        <v>0</v>
      </c>
      <c r="K49" s="24" t="e">
        <f t="shared" si="2"/>
        <v>#DIV/0!</v>
      </c>
      <c r="L49" s="70" t="e">
        <f t="shared" si="3"/>
        <v>#DIV/0!</v>
      </c>
      <c r="M49" s="75" t="e">
        <f t="shared" si="4"/>
        <v>#DIV/0!</v>
      </c>
      <c r="N49" s="1"/>
      <c r="O49" s="28"/>
      <c r="P49" s="19" t="s">
        <v>39</v>
      </c>
      <c r="Q49" s="30">
        <f t="shared" si="5"/>
        <v>-2</v>
      </c>
      <c r="R49" s="38"/>
    </row>
    <row r="50" spans="1:18" x14ac:dyDescent="0.3">
      <c r="A50" s="50"/>
      <c r="B50" s="51"/>
      <c r="D50" s="119"/>
      <c r="E50" s="115" t="s">
        <v>16</v>
      </c>
      <c r="F50" s="23"/>
      <c r="G50" s="23"/>
      <c r="H50" s="24" t="e">
        <f t="shared" si="6"/>
        <v>#DIV/0!</v>
      </c>
      <c r="I50" s="33"/>
      <c r="J50" s="21">
        <f t="shared" si="1"/>
        <v>0</v>
      </c>
      <c r="K50" s="24" t="e">
        <f t="shared" si="2"/>
        <v>#DIV/0!</v>
      </c>
      <c r="L50" s="70" t="e">
        <f t="shared" si="3"/>
        <v>#DIV/0!</v>
      </c>
      <c r="M50" s="75" t="e">
        <f t="shared" si="4"/>
        <v>#DIV/0!</v>
      </c>
      <c r="N50" s="1"/>
      <c r="O50" s="28"/>
      <c r="P50" s="19" t="s">
        <v>39</v>
      </c>
      <c r="Q50" s="30">
        <f t="shared" si="5"/>
        <v>-2</v>
      </c>
      <c r="R50" s="38"/>
    </row>
    <row r="51" spans="1:18" x14ac:dyDescent="0.3">
      <c r="A51" s="48"/>
      <c r="B51" s="49"/>
      <c r="D51" s="119"/>
      <c r="E51" s="115" t="s">
        <v>16</v>
      </c>
      <c r="F51" s="23"/>
      <c r="G51" s="23"/>
      <c r="H51" s="24" t="e">
        <f t="shared" si="6"/>
        <v>#DIV/0!</v>
      </c>
      <c r="I51" s="33"/>
      <c r="J51" s="21">
        <f t="shared" si="1"/>
        <v>0</v>
      </c>
      <c r="K51" s="24" t="e">
        <f t="shared" si="2"/>
        <v>#DIV/0!</v>
      </c>
      <c r="L51" s="70" t="e">
        <f t="shared" si="3"/>
        <v>#DIV/0!</v>
      </c>
      <c r="M51" s="75" t="e">
        <f t="shared" si="4"/>
        <v>#DIV/0!</v>
      </c>
      <c r="N51" s="1"/>
      <c r="O51" s="28"/>
      <c r="P51" s="19" t="s">
        <v>39</v>
      </c>
      <c r="Q51" s="30">
        <f t="shared" si="5"/>
        <v>-2</v>
      </c>
      <c r="R51" s="38"/>
    </row>
    <row r="52" spans="1:18" x14ac:dyDescent="0.3">
      <c r="A52" s="64"/>
      <c r="B52" s="65"/>
      <c r="D52" s="119"/>
      <c r="E52" s="115" t="s">
        <v>16</v>
      </c>
      <c r="F52" s="23"/>
      <c r="G52" s="23"/>
      <c r="H52" s="24" t="e">
        <f t="shared" si="6"/>
        <v>#DIV/0!</v>
      </c>
      <c r="I52" s="33"/>
      <c r="J52" s="21">
        <f t="shared" si="1"/>
        <v>0</v>
      </c>
      <c r="K52" s="24" t="e">
        <f t="shared" si="2"/>
        <v>#DIV/0!</v>
      </c>
      <c r="L52" s="70" t="e">
        <f t="shared" si="3"/>
        <v>#DIV/0!</v>
      </c>
      <c r="M52" s="75" t="e">
        <f t="shared" si="4"/>
        <v>#DIV/0!</v>
      </c>
      <c r="N52" s="1"/>
      <c r="O52" s="28"/>
      <c r="P52" s="19" t="s">
        <v>39</v>
      </c>
      <c r="Q52" s="30">
        <f t="shared" si="5"/>
        <v>-2</v>
      </c>
      <c r="R52" s="38"/>
    </row>
    <row r="53" spans="1:18" x14ac:dyDescent="0.3">
      <c r="A53" s="64"/>
      <c r="B53" s="65"/>
      <c r="D53" s="119"/>
      <c r="E53" s="115" t="s">
        <v>16</v>
      </c>
      <c r="F53" s="23"/>
      <c r="G53" s="23"/>
      <c r="H53" s="24" t="e">
        <f t="shared" si="6"/>
        <v>#DIV/0!</v>
      </c>
      <c r="I53" s="33"/>
      <c r="J53" s="21">
        <f t="shared" si="1"/>
        <v>0</v>
      </c>
      <c r="K53" s="24" t="e">
        <f t="shared" si="2"/>
        <v>#DIV/0!</v>
      </c>
      <c r="L53" s="70" t="e">
        <f t="shared" si="3"/>
        <v>#DIV/0!</v>
      </c>
      <c r="M53" s="75" t="e">
        <f t="shared" si="4"/>
        <v>#DIV/0!</v>
      </c>
      <c r="N53" s="1"/>
      <c r="O53" s="28"/>
      <c r="P53" s="19" t="s">
        <v>39</v>
      </c>
      <c r="Q53" s="30">
        <f t="shared" si="5"/>
        <v>-2</v>
      </c>
      <c r="R53" s="38"/>
    </row>
    <row r="54" spans="1:18" x14ac:dyDescent="0.3">
      <c r="A54" s="64"/>
      <c r="B54" s="65"/>
      <c r="D54" s="119"/>
      <c r="E54" s="115" t="s">
        <v>16</v>
      </c>
      <c r="F54" s="23"/>
      <c r="G54" s="23"/>
      <c r="H54" s="24" t="e">
        <f t="shared" si="6"/>
        <v>#DIV/0!</v>
      </c>
      <c r="I54" s="33"/>
      <c r="J54" s="21">
        <f t="shared" si="1"/>
        <v>0</v>
      </c>
      <c r="K54" s="24" t="e">
        <f t="shared" si="2"/>
        <v>#DIV/0!</v>
      </c>
      <c r="L54" s="70" t="e">
        <f t="shared" si="3"/>
        <v>#DIV/0!</v>
      </c>
      <c r="M54" s="75" t="e">
        <f t="shared" si="4"/>
        <v>#DIV/0!</v>
      </c>
      <c r="N54" s="1"/>
      <c r="O54" s="28"/>
      <c r="P54" s="19" t="s">
        <v>39</v>
      </c>
      <c r="Q54" s="30">
        <f t="shared" si="5"/>
        <v>-2</v>
      </c>
      <c r="R54" s="38"/>
    </row>
    <row r="55" spans="1:18" x14ac:dyDescent="0.3">
      <c r="A55" s="64"/>
      <c r="B55" s="65"/>
      <c r="D55" s="119"/>
      <c r="E55" s="115" t="s">
        <v>16</v>
      </c>
      <c r="F55" s="23"/>
      <c r="G55" s="23"/>
      <c r="H55" s="24" t="e">
        <f t="shared" si="6"/>
        <v>#DIV/0!</v>
      </c>
      <c r="I55" s="33"/>
      <c r="J55" s="21">
        <f t="shared" si="1"/>
        <v>0</v>
      </c>
      <c r="K55" s="24" t="e">
        <f t="shared" si="2"/>
        <v>#DIV/0!</v>
      </c>
      <c r="L55" s="70" t="e">
        <f t="shared" si="3"/>
        <v>#DIV/0!</v>
      </c>
      <c r="M55" s="75" t="e">
        <f t="shared" si="4"/>
        <v>#DIV/0!</v>
      </c>
      <c r="N55" s="1"/>
      <c r="O55" s="28"/>
      <c r="P55" s="19" t="s">
        <v>39</v>
      </c>
      <c r="Q55" s="30">
        <f t="shared" si="5"/>
        <v>-2</v>
      </c>
      <c r="R55" s="38"/>
    </row>
    <row r="56" spans="1:18" x14ac:dyDescent="0.3">
      <c r="A56" s="64"/>
      <c r="B56" s="65"/>
      <c r="D56" s="119"/>
      <c r="E56" s="115" t="s">
        <v>16</v>
      </c>
      <c r="F56" s="23"/>
      <c r="G56" s="23"/>
      <c r="H56" s="24" t="e">
        <f t="shared" si="6"/>
        <v>#DIV/0!</v>
      </c>
      <c r="I56" s="33"/>
      <c r="J56" s="21">
        <f t="shared" si="1"/>
        <v>0</v>
      </c>
      <c r="K56" s="24" t="e">
        <f t="shared" si="2"/>
        <v>#DIV/0!</v>
      </c>
      <c r="L56" s="70" t="e">
        <f t="shared" si="3"/>
        <v>#DIV/0!</v>
      </c>
      <c r="M56" s="75" t="e">
        <f t="shared" si="4"/>
        <v>#DIV/0!</v>
      </c>
      <c r="N56" s="1"/>
      <c r="O56" s="28"/>
      <c r="P56" s="19" t="s">
        <v>39</v>
      </c>
      <c r="Q56" s="30">
        <f t="shared" si="5"/>
        <v>-2</v>
      </c>
      <c r="R56" s="38"/>
    </row>
    <row r="57" spans="1:18" x14ac:dyDescent="0.3">
      <c r="A57" s="64"/>
      <c r="B57" s="65"/>
      <c r="D57" s="119"/>
      <c r="E57" s="115" t="s">
        <v>16</v>
      </c>
      <c r="F57" s="23"/>
      <c r="G57" s="23"/>
      <c r="H57" s="24" t="e">
        <f t="shared" si="6"/>
        <v>#DIV/0!</v>
      </c>
      <c r="I57" s="33"/>
      <c r="J57" s="21">
        <f t="shared" si="1"/>
        <v>0</v>
      </c>
      <c r="K57" s="24" t="e">
        <f t="shared" si="2"/>
        <v>#DIV/0!</v>
      </c>
      <c r="L57" s="70" t="e">
        <f t="shared" si="3"/>
        <v>#DIV/0!</v>
      </c>
      <c r="M57" s="75" t="e">
        <f t="shared" si="4"/>
        <v>#DIV/0!</v>
      </c>
      <c r="N57" s="1"/>
      <c r="O57" s="28"/>
      <c r="P57" s="19" t="s">
        <v>39</v>
      </c>
      <c r="Q57" s="30">
        <f t="shared" si="5"/>
        <v>-2</v>
      </c>
      <c r="R57" s="38"/>
    </row>
    <row r="58" spans="1:18" x14ac:dyDescent="0.3">
      <c r="A58" s="64"/>
      <c r="B58" s="65"/>
      <c r="D58" s="119"/>
      <c r="E58" s="115" t="s">
        <v>16</v>
      </c>
      <c r="F58" s="23"/>
      <c r="G58" s="23"/>
      <c r="H58" s="24" t="e">
        <f t="shared" si="6"/>
        <v>#DIV/0!</v>
      </c>
      <c r="I58" s="33"/>
      <c r="J58" s="21">
        <f t="shared" si="1"/>
        <v>0</v>
      </c>
      <c r="K58" s="24" t="e">
        <f t="shared" si="2"/>
        <v>#DIV/0!</v>
      </c>
      <c r="L58" s="70" t="e">
        <f t="shared" si="3"/>
        <v>#DIV/0!</v>
      </c>
      <c r="M58" s="75" t="e">
        <f t="shared" si="4"/>
        <v>#DIV/0!</v>
      </c>
      <c r="N58" s="1"/>
      <c r="O58" s="28"/>
      <c r="P58" s="19" t="s">
        <v>39</v>
      </c>
      <c r="Q58" s="30">
        <f t="shared" si="5"/>
        <v>-2</v>
      </c>
      <c r="R58" s="38"/>
    </row>
    <row r="59" spans="1:18" x14ac:dyDescent="0.3">
      <c r="A59" s="64"/>
      <c r="B59" s="65"/>
      <c r="D59" s="119"/>
      <c r="E59" s="115" t="s">
        <v>16</v>
      </c>
      <c r="F59" s="23"/>
      <c r="G59" s="23"/>
      <c r="H59" s="24" t="e">
        <f t="shared" si="6"/>
        <v>#DIV/0!</v>
      </c>
      <c r="I59" s="33"/>
      <c r="J59" s="21">
        <f t="shared" si="1"/>
        <v>0</v>
      </c>
      <c r="K59" s="24" t="e">
        <f t="shared" si="2"/>
        <v>#DIV/0!</v>
      </c>
      <c r="L59" s="70" t="e">
        <f t="shared" si="3"/>
        <v>#DIV/0!</v>
      </c>
      <c r="M59" s="75" t="e">
        <f t="shared" si="4"/>
        <v>#DIV/0!</v>
      </c>
      <c r="N59" s="1"/>
      <c r="O59" s="28"/>
      <c r="P59" s="19" t="s">
        <v>39</v>
      </c>
      <c r="Q59" s="30">
        <f t="shared" si="5"/>
        <v>-2</v>
      </c>
      <c r="R59" s="38"/>
    </row>
    <row r="60" spans="1:18" x14ac:dyDescent="0.3">
      <c r="A60" s="64"/>
      <c r="B60" s="65"/>
      <c r="D60" s="119"/>
      <c r="E60" s="115" t="s">
        <v>16</v>
      </c>
      <c r="F60" s="23"/>
      <c r="G60" s="23"/>
      <c r="H60" s="24" t="e">
        <f t="shared" si="6"/>
        <v>#DIV/0!</v>
      </c>
      <c r="I60" s="33"/>
      <c r="J60" s="21">
        <f t="shared" si="1"/>
        <v>0</v>
      </c>
      <c r="K60" s="24" t="e">
        <f t="shared" si="2"/>
        <v>#DIV/0!</v>
      </c>
      <c r="L60" s="70" t="e">
        <f t="shared" si="3"/>
        <v>#DIV/0!</v>
      </c>
      <c r="M60" s="75" t="e">
        <f t="shared" si="4"/>
        <v>#DIV/0!</v>
      </c>
      <c r="N60" s="1"/>
      <c r="O60" s="28"/>
      <c r="P60" s="19" t="s">
        <v>39</v>
      </c>
      <c r="Q60" s="30">
        <f t="shared" si="5"/>
        <v>-2</v>
      </c>
      <c r="R60" s="38"/>
    </row>
    <row r="61" spans="1:18" x14ac:dyDescent="0.3">
      <c r="A61" s="64"/>
      <c r="B61" s="65"/>
      <c r="D61" s="119"/>
      <c r="E61" s="115" t="s">
        <v>16</v>
      </c>
      <c r="F61" s="23"/>
      <c r="G61" s="23"/>
      <c r="H61" s="24" t="e">
        <f t="shared" si="6"/>
        <v>#DIV/0!</v>
      </c>
      <c r="I61" s="33"/>
      <c r="J61" s="21">
        <f t="shared" si="1"/>
        <v>0</v>
      </c>
      <c r="K61" s="24" t="e">
        <f t="shared" si="2"/>
        <v>#DIV/0!</v>
      </c>
      <c r="L61" s="70" t="e">
        <f t="shared" si="3"/>
        <v>#DIV/0!</v>
      </c>
      <c r="M61" s="75" t="e">
        <f t="shared" si="4"/>
        <v>#DIV/0!</v>
      </c>
      <c r="N61" s="1"/>
      <c r="O61" s="28"/>
      <c r="P61" s="19" t="s">
        <v>39</v>
      </c>
      <c r="Q61" s="30">
        <f t="shared" si="5"/>
        <v>-2</v>
      </c>
      <c r="R61" s="38"/>
    </row>
    <row r="62" spans="1:18" x14ac:dyDescent="0.3">
      <c r="A62" s="64"/>
      <c r="B62" s="65"/>
      <c r="D62" s="119"/>
      <c r="E62" s="115" t="s">
        <v>16</v>
      </c>
      <c r="F62" s="23"/>
      <c r="G62" s="23"/>
      <c r="H62" s="24" t="e">
        <f t="shared" si="6"/>
        <v>#DIV/0!</v>
      </c>
      <c r="I62" s="33"/>
      <c r="J62" s="21">
        <f t="shared" si="1"/>
        <v>0</v>
      </c>
      <c r="K62" s="24" t="e">
        <f t="shared" si="2"/>
        <v>#DIV/0!</v>
      </c>
      <c r="L62" s="70" t="e">
        <f t="shared" si="3"/>
        <v>#DIV/0!</v>
      </c>
      <c r="M62" s="75" t="e">
        <f t="shared" si="4"/>
        <v>#DIV/0!</v>
      </c>
      <c r="N62" s="1"/>
      <c r="O62" s="28"/>
      <c r="P62" s="19" t="s">
        <v>39</v>
      </c>
      <c r="Q62" s="30">
        <f t="shared" si="5"/>
        <v>-2</v>
      </c>
      <c r="R62" s="38"/>
    </row>
    <row r="63" spans="1:18" x14ac:dyDescent="0.3">
      <c r="A63" s="64"/>
      <c r="B63" s="65"/>
      <c r="D63" s="119"/>
      <c r="E63" s="115" t="s">
        <v>16</v>
      </c>
      <c r="F63" s="23"/>
      <c r="G63" s="23"/>
      <c r="H63" s="24" t="e">
        <f t="shared" si="6"/>
        <v>#DIV/0!</v>
      </c>
      <c r="I63" s="33"/>
      <c r="J63" s="21">
        <f t="shared" si="1"/>
        <v>0</v>
      </c>
      <c r="K63" s="24" t="e">
        <f t="shared" si="2"/>
        <v>#DIV/0!</v>
      </c>
      <c r="L63" s="70" t="e">
        <f t="shared" si="3"/>
        <v>#DIV/0!</v>
      </c>
      <c r="M63" s="75" t="e">
        <f t="shared" si="4"/>
        <v>#DIV/0!</v>
      </c>
      <c r="N63" s="1"/>
      <c r="O63" s="28"/>
      <c r="P63" s="19" t="s">
        <v>39</v>
      </c>
      <c r="Q63" s="30">
        <f t="shared" si="5"/>
        <v>-2</v>
      </c>
      <c r="R63" s="38"/>
    </row>
    <row r="64" spans="1:18" x14ac:dyDescent="0.3">
      <c r="A64" s="64"/>
      <c r="B64" s="65"/>
      <c r="D64" s="119"/>
      <c r="E64" s="115" t="s">
        <v>16</v>
      </c>
      <c r="F64" s="23"/>
      <c r="G64" s="23"/>
      <c r="H64" s="24" t="e">
        <f t="shared" si="6"/>
        <v>#DIV/0!</v>
      </c>
      <c r="I64" s="33"/>
      <c r="J64" s="21">
        <f t="shared" si="1"/>
        <v>0</v>
      </c>
      <c r="K64" s="24" t="e">
        <f t="shared" si="2"/>
        <v>#DIV/0!</v>
      </c>
      <c r="L64" s="70" t="e">
        <f t="shared" si="3"/>
        <v>#DIV/0!</v>
      </c>
      <c r="M64" s="75" t="e">
        <f t="shared" si="4"/>
        <v>#DIV/0!</v>
      </c>
      <c r="N64" s="1"/>
      <c r="O64" s="28"/>
      <c r="P64" s="19" t="s">
        <v>39</v>
      </c>
      <c r="Q64" s="30">
        <f t="shared" si="5"/>
        <v>-2</v>
      </c>
      <c r="R64" s="38"/>
    </row>
    <row r="65" spans="1:18" x14ac:dyDescent="0.3">
      <c r="A65" s="64"/>
      <c r="B65" s="65"/>
      <c r="D65" s="119"/>
      <c r="E65" s="115" t="s">
        <v>16</v>
      </c>
      <c r="F65" s="23"/>
      <c r="G65" s="23"/>
      <c r="H65" s="24" t="e">
        <f t="shared" si="6"/>
        <v>#DIV/0!</v>
      </c>
      <c r="I65" s="33"/>
      <c r="J65" s="21">
        <f t="shared" si="1"/>
        <v>0</v>
      </c>
      <c r="K65" s="24" t="e">
        <f t="shared" si="2"/>
        <v>#DIV/0!</v>
      </c>
      <c r="L65" s="70" t="e">
        <f t="shared" si="3"/>
        <v>#DIV/0!</v>
      </c>
      <c r="M65" s="75" t="e">
        <f t="shared" si="4"/>
        <v>#DIV/0!</v>
      </c>
      <c r="N65" s="1"/>
      <c r="O65" s="28"/>
      <c r="P65" s="19" t="s">
        <v>39</v>
      </c>
      <c r="Q65" s="30">
        <f t="shared" si="5"/>
        <v>-2</v>
      </c>
      <c r="R65" s="38"/>
    </row>
    <row r="66" spans="1:18" x14ac:dyDescent="0.3">
      <c r="A66" s="64"/>
      <c r="B66" s="65"/>
      <c r="D66" s="119"/>
      <c r="E66" s="115" t="s">
        <v>16</v>
      </c>
      <c r="F66" s="23"/>
      <c r="G66" s="23"/>
      <c r="H66" s="24" t="e">
        <f t="shared" si="6"/>
        <v>#DIV/0!</v>
      </c>
      <c r="I66" s="33"/>
      <c r="J66" s="21">
        <f t="shared" si="1"/>
        <v>0</v>
      </c>
      <c r="K66" s="24" t="e">
        <f t="shared" si="2"/>
        <v>#DIV/0!</v>
      </c>
      <c r="L66" s="70" t="e">
        <f t="shared" si="3"/>
        <v>#DIV/0!</v>
      </c>
      <c r="M66" s="75" t="e">
        <f t="shared" si="4"/>
        <v>#DIV/0!</v>
      </c>
      <c r="N66" s="1"/>
      <c r="O66" s="28"/>
      <c r="P66" s="19" t="s">
        <v>39</v>
      </c>
      <c r="Q66" s="30">
        <f t="shared" si="5"/>
        <v>-2</v>
      </c>
      <c r="R66" s="38"/>
    </row>
    <row r="67" spans="1:18" x14ac:dyDescent="0.3">
      <c r="A67" s="64"/>
      <c r="B67" s="65"/>
      <c r="D67" s="119"/>
      <c r="E67" s="115" t="s">
        <v>16</v>
      </c>
      <c r="F67" s="23"/>
      <c r="G67" s="23"/>
      <c r="H67" s="24" t="e">
        <f t="shared" si="6"/>
        <v>#DIV/0!</v>
      </c>
      <c r="I67" s="33"/>
      <c r="J67" s="21">
        <f t="shared" ref="J67:J71" si="7">F67*I67+IF(N67="Фрибет",(F67*I67-F67)-F67*I67)</f>
        <v>0</v>
      </c>
      <c r="K67" s="24" t="e">
        <f t="shared" ref="K67:K71" si="8">((J67*100)/G67)</f>
        <v>#DIV/0!</v>
      </c>
      <c r="L67" s="70" t="e">
        <f t="shared" ref="L67:L71" si="9">1-M67</f>
        <v>#DIV/0!</v>
      </c>
      <c r="M67" s="75" t="e">
        <f t="shared" ref="M67:M71" si="10">1/I67</f>
        <v>#DIV/0!</v>
      </c>
      <c r="N67" s="1"/>
      <c r="O67" s="28"/>
      <c r="P67" s="19" t="s">
        <v>39</v>
      </c>
      <c r="Q67" s="30">
        <f t="shared" si="5"/>
        <v>-2</v>
      </c>
      <c r="R67" s="38"/>
    </row>
    <row r="68" spans="1:18" x14ac:dyDescent="0.3">
      <c r="A68" s="64"/>
      <c r="B68" s="65"/>
      <c r="D68" s="119"/>
      <c r="E68" s="115" t="s">
        <v>16</v>
      </c>
      <c r="F68" s="23"/>
      <c r="G68" s="23"/>
      <c r="H68" s="24" t="e">
        <f t="shared" si="6"/>
        <v>#DIV/0!</v>
      </c>
      <c r="I68" s="33"/>
      <c r="J68" s="21">
        <f t="shared" si="7"/>
        <v>0</v>
      </c>
      <c r="K68" s="24" t="e">
        <f t="shared" si="8"/>
        <v>#DIV/0!</v>
      </c>
      <c r="L68" s="70" t="e">
        <f t="shared" si="9"/>
        <v>#DIV/0!</v>
      </c>
      <c r="M68" s="75" t="e">
        <f t="shared" si="10"/>
        <v>#DIV/0!</v>
      </c>
      <c r="N68" s="1"/>
      <c r="O68" s="28"/>
      <c r="P68" s="19" t="s">
        <v>39</v>
      </c>
      <c r="Q68" s="30">
        <f t="shared" ref="Q68:Q71" si="11">IF(P68="Победа",1)+IF(P68="Поражение",0)+IF(P68="Не ставил",-2)</f>
        <v>-2</v>
      </c>
      <c r="R68" s="38"/>
    </row>
    <row r="69" spans="1:18" x14ac:dyDescent="0.3">
      <c r="A69" s="64"/>
      <c r="B69" s="65"/>
      <c r="D69" s="119"/>
      <c r="E69" s="115" t="s">
        <v>16</v>
      </c>
      <c r="F69" s="23"/>
      <c r="G69" s="23"/>
      <c r="H69" s="24" t="e">
        <f t="shared" si="6"/>
        <v>#DIV/0!</v>
      </c>
      <c r="I69" s="33"/>
      <c r="J69" s="21">
        <f t="shared" si="7"/>
        <v>0</v>
      </c>
      <c r="K69" s="24" t="e">
        <f t="shared" si="8"/>
        <v>#DIV/0!</v>
      </c>
      <c r="L69" s="70" t="e">
        <f t="shared" si="9"/>
        <v>#DIV/0!</v>
      </c>
      <c r="M69" s="75" t="e">
        <f t="shared" si="10"/>
        <v>#DIV/0!</v>
      </c>
      <c r="N69" s="1"/>
      <c r="O69" s="28"/>
      <c r="P69" s="19" t="s">
        <v>39</v>
      </c>
      <c r="Q69" s="30">
        <f t="shared" si="11"/>
        <v>-2</v>
      </c>
      <c r="R69" s="38"/>
    </row>
    <row r="70" spans="1:18" x14ac:dyDescent="0.3">
      <c r="A70" s="64"/>
      <c r="B70" s="65"/>
      <c r="D70" s="119"/>
      <c r="E70" s="115" t="s">
        <v>16</v>
      </c>
      <c r="F70" s="23"/>
      <c r="G70" s="23"/>
      <c r="H70" s="24" t="e">
        <f t="shared" si="6"/>
        <v>#DIV/0!</v>
      </c>
      <c r="I70" s="33"/>
      <c r="J70" s="21">
        <f t="shared" si="7"/>
        <v>0</v>
      </c>
      <c r="K70" s="24" t="e">
        <f t="shared" si="8"/>
        <v>#DIV/0!</v>
      </c>
      <c r="L70" s="70" t="e">
        <f t="shared" si="9"/>
        <v>#DIV/0!</v>
      </c>
      <c r="M70" s="75" t="e">
        <f t="shared" si="10"/>
        <v>#DIV/0!</v>
      </c>
      <c r="N70" s="1"/>
      <c r="O70" s="28"/>
      <c r="P70" s="19" t="s">
        <v>39</v>
      </c>
      <c r="Q70" s="30">
        <f t="shared" si="11"/>
        <v>-2</v>
      </c>
      <c r="R70" s="38"/>
    </row>
    <row r="71" spans="1:18" ht="15" thickBot="1" x14ac:dyDescent="0.35">
      <c r="A71" s="56"/>
      <c r="B71" s="66"/>
      <c r="D71" s="119"/>
      <c r="E71" s="115" t="s">
        <v>16</v>
      </c>
      <c r="F71" s="23"/>
      <c r="G71" s="23"/>
      <c r="H71" s="24" t="e">
        <f t="shared" si="6"/>
        <v>#DIV/0!</v>
      </c>
      <c r="I71" s="33"/>
      <c r="J71" s="21">
        <f t="shared" si="7"/>
        <v>0</v>
      </c>
      <c r="K71" s="24" t="e">
        <f t="shared" si="8"/>
        <v>#DIV/0!</v>
      </c>
      <c r="L71" s="70" t="e">
        <f t="shared" si="9"/>
        <v>#DIV/0!</v>
      </c>
      <c r="M71" s="75" t="e">
        <f t="shared" si="10"/>
        <v>#DIV/0!</v>
      </c>
      <c r="N71" s="1"/>
      <c r="O71" s="28"/>
      <c r="P71" s="19" t="s">
        <v>39</v>
      </c>
      <c r="Q71" s="30">
        <f t="shared" si="11"/>
        <v>-2</v>
      </c>
      <c r="R71" s="38"/>
    </row>
    <row r="72" spans="1:18" x14ac:dyDescent="0.3">
      <c r="E72"/>
      <c r="F72"/>
      <c r="G72"/>
      <c r="H72"/>
      <c r="I72"/>
      <c r="J72"/>
      <c r="K72"/>
      <c r="L72" s="73"/>
      <c r="M72" s="78"/>
      <c r="O72"/>
      <c r="P72"/>
      <c r="Q72"/>
      <c r="R72"/>
    </row>
    <row r="73" spans="1:18" x14ac:dyDescent="0.3">
      <c r="E73"/>
      <c r="F73"/>
      <c r="G73"/>
      <c r="H73"/>
      <c r="I73"/>
      <c r="J73"/>
      <c r="K73"/>
      <c r="L73" s="73"/>
      <c r="M73" s="78"/>
      <c r="O73"/>
      <c r="P73"/>
      <c r="Q73"/>
      <c r="R73"/>
    </row>
    <row r="74" spans="1:18" x14ac:dyDescent="0.3">
      <c r="E74"/>
      <c r="F74"/>
      <c r="G74"/>
      <c r="H74"/>
      <c r="I74"/>
      <c r="J74"/>
      <c r="K74"/>
      <c r="L74" s="73"/>
      <c r="M74" s="78"/>
      <c r="O74"/>
      <c r="P74"/>
      <c r="Q74"/>
      <c r="R74"/>
    </row>
    <row r="75" spans="1:18" x14ac:dyDescent="0.3">
      <c r="E75"/>
      <c r="F75"/>
      <c r="G75"/>
      <c r="H75"/>
      <c r="I75"/>
      <c r="J75"/>
      <c r="K75"/>
      <c r="L75" s="73"/>
      <c r="M75" s="78"/>
      <c r="O75"/>
      <c r="P75"/>
      <c r="Q75"/>
      <c r="R75"/>
    </row>
    <row r="76" spans="1:18" x14ac:dyDescent="0.3">
      <c r="E76"/>
      <c r="F76"/>
      <c r="G76"/>
      <c r="H76"/>
      <c r="I76"/>
      <c r="J76"/>
      <c r="K76"/>
      <c r="L76" s="73"/>
      <c r="M76" s="78"/>
      <c r="O76"/>
      <c r="P76"/>
      <c r="Q76"/>
      <c r="R76"/>
    </row>
    <row r="77" spans="1:18" x14ac:dyDescent="0.3">
      <c r="E77"/>
      <c r="F77"/>
      <c r="G77"/>
      <c r="H77"/>
      <c r="I77"/>
      <c r="J77"/>
      <c r="K77"/>
      <c r="L77" s="73"/>
      <c r="M77" s="78"/>
      <c r="O77"/>
      <c r="P77"/>
      <c r="Q77"/>
      <c r="R77"/>
    </row>
    <row r="78" spans="1:18" x14ac:dyDescent="0.3">
      <c r="E78"/>
      <c r="F78"/>
      <c r="G78"/>
      <c r="H78"/>
      <c r="I78"/>
      <c r="J78"/>
      <c r="K78"/>
      <c r="L78" s="73"/>
      <c r="M78" s="78"/>
      <c r="O78"/>
      <c r="P78"/>
      <c r="Q78"/>
      <c r="R78"/>
    </row>
    <row r="79" spans="1:18" x14ac:dyDescent="0.3">
      <c r="E79"/>
      <c r="F79"/>
      <c r="G79"/>
      <c r="H79"/>
      <c r="I79"/>
      <c r="J79"/>
      <c r="K79"/>
      <c r="L79" s="73"/>
      <c r="M79" s="78"/>
      <c r="O79"/>
      <c r="P79"/>
      <c r="Q79"/>
      <c r="R79"/>
    </row>
    <row r="80" spans="1:18" x14ac:dyDescent="0.3">
      <c r="E80"/>
      <c r="F80"/>
      <c r="G80"/>
      <c r="H80"/>
      <c r="I80"/>
      <c r="J80"/>
      <c r="K80"/>
      <c r="L80" s="73"/>
      <c r="M80" s="78"/>
      <c r="O80"/>
      <c r="P80"/>
      <c r="Q80"/>
      <c r="R80"/>
    </row>
    <row r="81" spans="12:13" customFormat="1" x14ac:dyDescent="0.3">
      <c r="L81" s="73"/>
      <c r="M81" s="78"/>
    </row>
    <row r="82" spans="12:13" customFormat="1" x14ac:dyDescent="0.3">
      <c r="L82" s="73"/>
      <c r="M82" s="78"/>
    </row>
    <row r="83" spans="12:13" customFormat="1" x14ac:dyDescent="0.3">
      <c r="L83" s="73"/>
      <c r="M83" s="78"/>
    </row>
    <row r="84" spans="12:13" customFormat="1" x14ac:dyDescent="0.3">
      <c r="L84" s="73"/>
      <c r="M84" s="78"/>
    </row>
    <row r="85" spans="12:13" customFormat="1" x14ac:dyDescent="0.3">
      <c r="L85" s="73"/>
      <c r="M85" s="78"/>
    </row>
    <row r="86" spans="12:13" customFormat="1" x14ac:dyDescent="0.3">
      <c r="L86" s="73"/>
      <c r="M86" s="78"/>
    </row>
    <row r="87" spans="12:13" customFormat="1" x14ac:dyDescent="0.3">
      <c r="L87" s="73"/>
      <c r="M87" s="78"/>
    </row>
    <row r="88" spans="12:13" customFormat="1" x14ac:dyDescent="0.3">
      <c r="L88" s="73"/>
      <c r="M88" s="78"/>
    </row>
    <row r="89" spans="12:13" customFormat="1" x14ac:dyDescent="0.3">
      <c r="L89" s="73"/>
      <c r="M89" s="78"/>
    </row>
    <row r="90" spans="12:13" customFormat="1" x14ac:dyDescent="0.3">
      <c r="L90" s="73"/>
      <c r="M90" s="78"/>
    </row>
    <row r="91" spans="12:13" customFormat="1" x14ac:dyDescent="0.3">
      <c r="L91" s="73"/>
      <c r="M91" s="78"/>
    </row>
    <row r="92" spans="12:13" customFormat="1" x14ac:dyDescent="0.3">
      <c r="L92" s="73"/>
      <c r="M92" s="78"/>
    </row>
    <row r="93" spans="12:13" customFormat="1" x14ac:dyDescent="0.3">
      <c r="L93" s="73"/>
      <c r="M93" s="78"/>
    </row>
    <row r="94" spans="12:13" customFormat="1" x14ac:dyDescent="0.3">
      <c r="L94" s="73"/>
      <c r="M94" s="78"/>
    </row>
    <row r="95" spans="12:13" customFormat="1" x14ac:dyDescent="0.3">
      <c r="L95" s="73"/>
      <c r="M95" s="78"/>
    </row>
    <row r="96" spans="12:13" customFormat="1" x14ac:dyDescent="0.3">
      <c r="L96" s="73"/>
      <c r="M96" s="78"/>
    </row>
    <row r="97" spans="12:13" customFormat="1" x14ac:dyDescent="0.3">
      <c r="L97" s="73"/>
      <c r="M97" s="78"/>
    </row>
    <row r="98" spans="12:13" customFormat="1" x14ac:dyDescent="0.3">
      <c r="L98" s="73"/>
      <c r="M98" s="78"/>
    </row>
    <row r="99" spans="12:13" customFormat="1" x14ac:dyDescent="0.3">
      <c r="L99" s="73"/>
      <c r="M99" s="78"/>
    </row>
    <row r="100" spans="12:13" customFormat="1" x14ac:dyDescent="0.3">
      <c r="L100" s="73"/>
      <c r="M100" s="78"/>
    </row>
    <row r="101" spans="12:13" customFormat="1" x14ac:dyDescent="0.3">
      <c r="L101" s="73"/>
      <c r="M101" s="78"/>
    </row>
    <row r="102" spans="12:13" customFormat="1" x14ac:dyDescent="0.3">
      <c r="L102" s="73"/>
      <c r="M102" s="78"/>
    </row>
    <row r="103" spans="12:13" customFormat="1" x14ac:dyDescent="0.3">
      <c r="L103" s="73"/>
      <c r="M103" s="78"/>
    </row>
    <row r="104" spans="12:13" customFormat="1" x14ac:dyDescent="0.3">
      <c r="L104" s="73"/>
      <c r="M104" s="78"/>
    </row>
    <row r="105" spans="12:13" customFormat="1" x14ac:dyDescent="0.3">
      <c r="L105" s="73"/>
      <c r="M105" s="78"/>
    </row>
    <row r="106" spans="12:13" customFormat="1" x14ac:dyDescent="0.3">
      <c r="L106" s="73"/>
      <c r="M106" s="78"/>
    </row>
    <row r="107" spans="12:13" customFormat="1" x14ac:dyDescent="0.3">
      <c r="L107" s="73"/>
      <c r="M107" s="78"/>
    </row>
    <row r="108" spans="12:13" customFormat="1" x14ac:dyDescent="0.3">
      <c r="L108" s="73"/>
      <c r="M108" s="78"/>
    </row>
    <row r="109" spans="12:13" customFormat="1" x14ac:dyDescent="0.3">
      <c r="L109" s="73"/>
      <c r="M109" s="78"/>
    </row>
    <row r="110" spans="12:13" customFormat="1" x14ac:dyDescent="0.3">
      <c r="L110" s="73"/>
      <c r="M110" s="78"/>
    </row>
    <row r="111" spans="12:13" customFormat="1" x14ac:dyDescent="0.3">
      <c r="L111" s="73"/>
      <c r="M111" s="78"/>
    </row>
    <row r="112" spans="12:13" customFormat="1" x14ac:dyDescent="0.3">
      <c r="L112" s="73"/>
      <c r="M112" s="78"/>
    </row>
    <row r="113" spans="12:13" customFormat="1" x14ac:dyDescent="0.3">
      <c r="L113" s="73"/>
      <c r="M113" s="78"/>
    </row>
    <row r="114" spans="12:13" customFormat="1" x14ac:dyDescent="0.3">
      <c r="L114" s="73"/>
      <c r="M114" s="78"/>
    </row>
    <row r="115" spans="12:13" customFormat="1" x14ac:dyDescent="0.3">
      <c r="L115" s="73"/>
      <c r="M115" s="78"/>
    </row>
    <row r="116" spans="12:13" customFormat="1" x14ac:dyDescent="0.3">
      <c r="L116" s="73"/>
      <c r="M116" s="78"/>
    </row>
    <row r="117" spans="12:13" customFormat="1" x14ac:dyDescent="0.3">
      <c r="L117" s="73"/>
      <c r="M117" s="78"/>
    </row>
    <row r="118" spans="12:13" customFormat="1" x14ac:dyDescent="0.3">
      <c r="L118" s="73"/>
      <c r="M118" s="78"/>
    </row>
    <row r="119" spans="12:13" customFormat="1" x14ac:dyDescent="0.3">
      <c r="L119" s="73"/>
      <c r="M119" s="78"/>
    </row>
    <row r="120" spans="12:13" customFormat="1" x14ac:dyDescent="0.3">
      <c r="L120" s="73"/>
      <c r="M120" s="78"/>
    </row>
    <row r="121" spans="12:13" customFormat="1" x14ac:dyDescent="0.3">
      <c r="L121" s="73"/>
      <c r="M121" s="78"/>
    </row>
    <row r="122" spans="12:13" customFormat="1" x14ac:dyDescent="0.3">
      <c r="L122" s="73"/>
      <c r="M122" s="78"/>
    </row>
    <row r="123" spans="12:13" customFormat="1" x14ac:dyDescent="0.3">
      <c r="L123" s="73"/>
      <c r="M123" s="78"/>
    </row>
    <row r="124" spans="12:13" customFormat="1" x14ac:dyDescent="0.3">
      <c r="L124" s="73"/>
      <c r="M124" s="78"/>
    </row>
    <row r="125" spans="12:13" customFormat="1" x14ac:dyDescent="0.3">
      <c r="L125" s="73"/>
      <c r="M125" s="78"/>
    </row>
    <row r="126" spans="12:13" customFormat="1" x14ac:dyDescent="0.3">
      <c r="L126" s="73"/>
      <c r="M126" s="78"/>
    </row>
    <row r="127" spans="12:13" customFormat="1" x14ac:dyDescent="0.3">
      <c r="L127" s="73"/>
      <c r="M127" s="78"/>
    </row>
    <row r="128" spans="12:13" customFormat="1" x14ac:dyDescent="0.3">
      <c r="L128" s="73"/>
      <c r="M128" s="78"/>
    </row>
    <row r="129" spans="12:13" customFormat="1" x14ac:dyDescent="0.3">
      <c r="L129" s="73"/>
      <c r="M129" s="78"/>
    </row>
    <row r="130" spans="12:13" customFormat="1" x14ac:dyDescent="0.3">
      <c r="L130" s="73"/>
      <c r="M130" s="78"/>
    </row>
    <row r="131" spans="12:13" customFormat="1" x14ac:dyDescent="0.3">
      <c r="L131" s="73"/>
      <c r="M131" s="78"/>
    </row>
    <row r="132" spans="12:13" customFormat="1" x14ac:dyDescent="0.3">
      <c r="L132" s="73"/>
      <c r="M132" s="78"/>
    </row>
    <row r="133" spans="12:13" customFormat="1" x14ac:dyDescent="0.3">
      <c r="L133" s="73"/>
      <c r="M133" s="78"/>
    </row>
    <row r="134" spans="12:13" customFormat="1" x14ac:dyDescent="0.3">
      <c r="L134" s="73"/>
      <c r="M134" s="78"/>
    </row>
    <row r="135" spans="12:13" customFormat="1" x14ac:dyDescent="0.3">
      <c r="L135" s="73"/>
      <c r="M135" s="78"/>
    </row>
    <row r="136" spans="12:13" customFormat="1" x14ac:dyDescent="0.3">
      <c r="L136" s="73"/>
      <c r="M136" s="78"/>
    </row>
    <row r="137" spans="12:13" customFormat="1" x14ac:dyDescent="0.3">
      <c r="L137" s="73"/>
      <c r="M137" s="78"/>
    </row>
    <row r="138" spans="12:13" customFormat="1" x14ac:dyDescent="0.3">
      <c r="L138" s="73"/>
      <c r="M138" s="78"/>
    </row>
    <row r="139" spans="12:13" customFormat="1" x14ac:dyDescent="0.3">
      <c r="L139" s="73"/>
      <c r="M139" s="78"/>
    </row>
    <row r="140" spans="12:13" customFormat="1" x14ac:dyDescent="0.3">
      <c r="L140" s="73"/>
      <c r="M140" s="78"/>
    </row>
    <row r="141" spans="12:13" customFormat="1" x14ac:dyDescent="0.3">
      <c r="L141" s="73"/>
      <c r="M141" s="78"/>
    </row>
    <row r="142" spans="12:13" customFormat="1" x14ac:dyDescent="0.3">
      <c r="L142" s="73"/>
      <c r="M142" s="78"/>
    </row>
    <row r="143" spans="12:13" customFormat="1" x14ac:dyDescent="0.3">
      <c r="L143" s="73"/>
      <c r="M143" s="78"/>
    </row>
    <row r="144" spans="12:13" customFormat="1" x14ac:dyDescent="0.3">
      <c r="L144" s="73"/>
      <c r="M144" s="78"/>
    </row>
    <row r="145" spans="12:13" customFormat="1" x14ac:dyDescent="0.3">
      <c r="L145" s="73"/>
      <c r="M145" s="78"/>
    </row>
    <row r="146" spans="12:13" customFormat="1" x14ac:dyDescent="0.3">
      <c r="L146" s="73"/>
      <c r="M146" s="78"/>
    </row>
    <row r="147" spans="12:13" customFormat="1" x14ac:dyDescent="0.3">
      <c r="L147" s="73"/>
      <c r="M147" s="78"/>
    </row>
    <row r="148" spans="12:13" customFormat="1" x14ac:dyDescent="0.3">
      <c r="L148" s="73"/>
      <c r="M148" s="78"/>
    </row>
    <row r="149" spans="12:13" customFormat="1" x14ac:dyDescent="0.3">
      <c r="L149" s="73"/>
      <c r="M149" s="78"/>
    </row>
    <row r="150" spans="12:13" customFormat="1" x14ac:dyDescent="0.3">
      <c r="L150" s="73"/>
      <c r="M150" s="78"/>
    </row>
    <row r="151" spans="12:13" customFormat="1" x14ac:dyDescent="0.3">
      <c r="L151" s="73"/>
      <c r="M151" s="78"/>
    </row>
    <row r="152" spans="12:13" customFormat="1" x14ac:dyDescent="0.3">
      <c r="L152" s="73"/>
      <c r="M152" s="78"/>
    </row>
    <row r="153" spans="12:13" customFormat="1" x14ac:dyDescent="0.3">
      <c r="L153" s="73"/>
      <c r="M153" s="78"/>
    </row>
    <row r="154" spans="12:13" customFormat="1" x14ac:dyDescent="0.3">
      <c r="L154" s="73"/>
      <c r="M154" s="78"/>
    </row>
    <row r="155" spans="12:13" customFormat="1" x14ac:dyDescent="0.3">
      <c r="L155" s="73"/>
      <c r="M155" s="78"/>
    </row>
    <row r="156" spans="12:13" customFormat="1" x14ac:dyDescent="0.3">
      <c r="L156" s="73"/>
      <c r="M156" s="78"/>
    </row>
    <row r="157" spans="12:13" customFormat="1" x14ac:dyDescent="0.3">
      <c r="L157" s="73"/>
      <c r="M157" s="78"/>
    </row>
    <row r="158" spans="12:13" customFormat="1" x14ac:dyDescent="0.3">
      <c r="L158" s="73"/>
      <c r="M158" s="78"/>
    </row>
    <row r="159" spans="12:13" customFormat="1" x14ac:dyDescent="0.3">
      <c r="L159" s="73"/>
      <c r="M159" s="78"/>
    </row>
    <row r="160" spans="12:13" customFormat="1" x14ac:dyDescent="0.3">
      <c r="L160" s="73"/>
      <c r="M160" s="78"/>
    </row>
    <row r="161" spans="12:13" customFormat="1" x14ac:dyDescent="0.3">
      <c r="L161" s="73"/>
      <c r="M161" s="78"/>
    </row>
    <row r="162" spans="12:13" customFormat="1" x14ac:dyDescent="0.3">
      <c r="L162" s="73"/>
      <c r="M162" s="78"/>
    </row>
    <row r="163" spans="12:13" customFormat="1" x14ac:dyDescent="0.3">
      <c r="L163" s="73"/>
      <c r="M163" s="78"/>
    </row>
    <row r="164" spans="12:13" customFormat="1" x14ac:dyDescent="0.3">
      <c r="L164" s="73"/>
      <c r="M164" s="78"/>
    </row>
    <row r="165" spans="12:13" customFormat="1" x14ac:dyDescent="0.3">
      <c r="L165" s="73"/>
      <c r="M165" s="78"/>
    </row>
    <row r="166" spans="12:13" customFormat="1" x14ac:dyDescent="0.3">
      <c r="L166" s="73"/>
      <c r="M166" s="78"/>
    </row>
    <row r="167" spans="12:13" customFormat="1" x14ac:dyDescent="0.3">
      <c r="L167" s="73"/>
      <c r="M167" s="78"/>
    </row>
    <row r="168" spans="12:13" customFormat="1" x14ac:dyDescent="0.3">
      <c r="L168" s="73"/>
      <c r="M168" s="78"/>
    </row>
    <row r="169" spans="12:13" customFormat="1" x14ac:dyDescent="0.3">
      <c r="L169" s="73"/>
      <c r="M169" s="78"/>
    </row>
    <row r="170" spans="12:13" customFormat="1" x14ac:dyDescent="0.3">
      <c r="L170" s="73"/>
      <c r="M170" s="78"/>
    </row>
    <row r="171" spans="12:13" customFormat="1" x14ac:dyDescent="0.3">
      <c r="L171" s="73"/>
      <c r="M171" s="78"/>
    </row>
    <row r="172" spans="12:13" customFormat="1" x14ac:dyDescent="0.3">
      <c r="L172" s="73"/>
      <c r="M172" s="78"/>
    </row>
    <row r="173" spans="12:13" customFormat="1" x14ac:dyDescent="0.3">
      <c r="L173" s="73"/>
      <c r="M173" s="78"/>
    </row>
    <row r="174" spans="12:13" customFormat="1" x14ac:dyDescent="0.3">
      <c r="L174" s="73"/>
      <c r="M174" s="78"/>
    </row>
    <row r="175" spans="12:13" customFormat="1" x14ac:dyDescent="0.3">
      <c r="L175" s="73"/>
      <c r="M175" s="78"/>
    </row>
    <row r="176" spans="12:13" customFormat="1" x14ac:dyDescent="0.3">
      <c r="L176" s="73"/>
      <c r="M176" s="78"/>
    </row>
    <row r="177" spans="12:13" customFormat="1" x14ac:dyDescent="0.3">
      <c r="L177" s="73"/>
      <c r="M177" s="78"/>
    </row>
    <row r="178" spans="12:13" customFormat="1" x14ac:dyDescent="0.3">
      <c r="L178" s="73"/>
      <c r="M178" s="78"/>
    </row>
    <row r="179" spans="12:13" customFormat="1" x14ac:dyDescent="0.3">
      <c r="L179" s="73"/>
      <c r="M179" s="78"/>
    </row>
    <row r="180" spans="12:13" customFormat="1" x14ac:dyDescent="0.3">
      <c r="L180" s="73"/>
      <c r="M180" s="78"/>
    </row>
    <row r="181" spans="12:13" customFormat="1" x14ac:dyDescent="0.3">
      <c r="L181" s="73"/>
      <c r="M181" s="78"/>
    </row>
    <row r="182" spans="12:13" customFormat="1" x14ac:dyDescent="0.3">
      <c r="L182" s="73"/>
      <c r="M182" s="78"/>
    </row>
    <row r="183" spans="12:13" customFormat="1" x14ac:dyDescent="0.3">
      <c r="L183" s="73"/>
      <c r="M183" s="78"/>
    </row>
    <row r="184" spans="12:13" customFormat="1" x14ac:dyDescent="0.3">
      <c r="L184" s="73"/>
      <c r="M184" s="78"/>
    </row>
    <row r="185" spans="12:13" customFormat="1" x14ac:dyDescent="0.3">
      <c r="L185" s="73"/>
      <c r="M185" s="78"/>
    </row>
    <row r="186" spans="12:13" customFormat="1" x14ac:dyDescent="0.3">
      <c r="L186" s="73"/>
      <c r="M186" s="78"/>
    </row>
    <row r="187" spans="12:13" customFormat="1" x14ac:dyDescent="0.3">
      <c r="L187" s="73"/>
      <c r="M187" s="78"/>
    </row>
    <row r="188" spans="12:13" customFormat="1" x14ac:dyDescent="0.3">
      <c r="L188" s="73"/>
      <c r="M188" s="78"/>
    </row>
    <row r="189" spans="12:13" customFormat="1" x14ac:dyDescent="0.3">
      <c r="L189" s="73"/>
      <c r="M189" s="78"/>
    </row>
    <row r="190" spans="12:13" customFormat="1" x14ac:dyDescent="0.3">
      <c r="L190" s="73"/>
      <c r="M190" s="78"/>
    </row>
    <row r="191" spans="12:13" customFormat="1" x14ac:dyDescent="0.3">
      <c r="L191" s="73"/>
      <c r="M191" s="78"/>
    </row>
    <row r="192" spans="12:13" customFormat="1" x14ac:dyDescent="0.3">
      <c r="L192" s="73"/>
      <c r="M192" s="78"/>
    </row>
    <row r="193" spans="12:13" customFormat="1" x14ac:dyDescent="0.3">
      <c r="L193" s="73"/>
      <c r="M193" s="78"/>
    </row>
    <row r="194" spans="12:13" customFormat="1" x14ac:dyDescent="0.3">
      <c r="L194" s="73"/>
      <c r="M194" s="78"/>
    </row>
    <row r="195" spans="12:13" customFormat="1" x14ac:dyDescent="0.3">
      <c r="L195" s="73"/>
      <c r="M195" s="78"/>
    </row>
    <row r="196" spans="12:13" customFormat="1" x14ac:dyDescent="0.3">
      <c r="L196" s="73"/>
      <c r="M196" s="78"/>
    </row>
    <row r="197" spans="12:13" customFormat="1" x14ac:dyDescent="0.3">
      <c r="L197" s="73"/>
      <c r="M197" s="78"/>
    </row>
    <row r="198" spans="12:13" customFormat="1" x14ac:dyDescent="0.3">
      <c r="L198" s="73"/>
      <c r="M198" s="78"/>
    </row>
    <row r="199" spans="12:13" customFormat="1" x14ac:dyDescent="0.3">
      <c r="L199" s="73"/>
      <c r="M199" s="78"/>
    </row>
    <row r="200" spans="12:13" customFormat="1" x14ac:dyDescent="0.3">
      <c r="L200" s="73"/>
      <c r="M200" s="78"/>
    </row>
    <row r="201" spans="12:13" customFormat="1" x14ac:dyDescent="0.3">
      <c r="L201" s="73"/>
      <c r="M201" s="78"/>
    </row>
  </sheetData>
  <mergeCells count="41">
    <mergeCell ref="AL27:AM27"/>
    <mergeCell ref="AL28:AM28"/>
    <mergeCell ref="AF2:AF3"/>
    <mergeCell ref="AG2:AG3"/>
    <mergeCell ref="AH2:AH3"/>
    <mergeCell ref="AI2:AI3"/>
    <mergeCell ref="AK2:AL3"/>
    <mergeCell ref="AB4:AC4"/>
    <mergeCell ref="AD4:AE4"/>
    <mergeCell ref="Z2:Z3"/>
    <mergeCell ref="AA2:AA3"/>
    <mergeCell ref="AB2:AC3"/>
    <mergeCell ref="AD2:AE3"/>
    <mergeCell ref="AK1:AX1"/>
    <mergeCell ref="AU2:AU3"/>
    <mergeCell ref="AV2:AV3"/>
    <mergeCell ref="AW2:AW3"/>
    <mergeCell ref="AX2:AX3"/>
    <mergeCell ref="AS2:AT3"/>
    <mergeCell ref="AQ4:AR4"/>
    <mergeCell ref="AS4:AT4"/>
    <mergeCell ref="AK4:AL4"/>
    <mergeCell ref="AM2:AN3"/>
    <mergeCell ref="AO2:AP3"/>
    <mergeCell ref="AQ2:AR3"/>
    <mergeCell ref="AO21:AS21"/>
    <mergeCell ref="Z1:AH1"/>
    <mergeCell ref="AO11:AV11"/>
    <mergeCell ref="AO12:AQ12"/>
    <mergeCell ref="AT12:AU12"/>
    <mergeCell ref="AO13:AQ13"/>
    <mergeCell ref="AT13:AU13"/>
    <mergeCell ref="AO9:AP9"/>
    <mergeCell ref="AQ9:AR9"/>
    <mergeCell ref="AS9:AT9"/>
    <mergeCell ref="AO8:AP8"/>
    <mergeCell ref="AQ8:AR8"/>
    <mergeCell ref="AS8:AT8"/>
    <mergeCell ref="AO7:AT7"/>
    <mergeCell ref="AM4:AN4"/>
    <mergeCell ref="AO4:AP4"/>
  </mergeCells>
  <conditionalFormatting sqref="L2:L71">
    <cfRule type="cellIs" dxfId="62" priority="8" operator="greaterThanOrEqual">
      <formula>95%</formula>
    </cfRule>
    <cfRule type="cellIs" dxfId="61" priority="9" operator="greaterThanOrEqual">
      <formula>90%</formula>
    </cfRule>
    <cfRule type="cellIs" dxfId="60" priority="11" operator="greaterThanOrEqual">
      <formula>85%</formula>
    </cfRule>
  </conditionalFormatting>
  <conditionalFormatting sqref="E2:R71">
    <cfRule type="expression" dxfId="59" priority="5">
      <formula>$Q2:$Q26=0</formula>
    </cfRule>
    <cfRule type="expression" dxfId="58" priority="6">
      <formula>$Q2:$Q26=1</formula>
    </cfRule>
  </conditionalFormatting>
  <conditionalFormatting sqref="M2:M71">
    <cfRule type="cellIs" dxfId="57" priority="7" operator="greaterThanOrEqual">
      <formula>95%</formula>
    </cfRule>
    <cfRule type="cellIs" dxfId="56" priority="10" operator="greaterThanOrEqual">
      <formula>90%</formula>
    </cfRule>
    <cfRule type="cellIs" dxfId="55" priority="12" operator="greaterThanOrEqual">
      <formula>85%</formula>
    </cfRule>
  </conditionalFormatting>
  <conditionalFormatting sqref="U2">
    <cfRule type="iconSet" priority="4">
      <iconSet iconSet="3Arrows">
        <cfvo type="percent" val="0"/>
        <cfvo type="num" val="$V$2"/>
        <cfvo type="num" val="$V$2" gte="0"/>
      </iconSet>
    </cfRule>
  </conditionalFormatting>
  <conditionalFormatting sqref="V2">
    <cfRule type="iconSet" priority="3">
      <iconSet iconSet="3Arrows">
        <cfvo type="percent" val="0"/>
        <cfvo type="num" val="$U$2"/>
        <cfvo type="num" val="$U$2" gte="0"/>
      </iconSet>
    </cfRule>
  </conditionalFormatting>
  <conditionalFormatting sqref="D2:D71">
    <cfRule type="expression" dxfId="54" priority="1">
      <formula>$Q2:$Q26=0</formula>
    </cfRule>
    <cfRule type="expression" dxfId="53" priority="2">
      <formula>$Q2:$Q26=1</formula>
    </cfRule>
  </conditionalFormatting>
  <dataValidations count="1">
    <dataValidation type="list" allowBlank="1" showInputMessage="1" showErrorMessage="1" sqref="O2:O71 AO12:AQ12" xr:uid="{00000000-0002-0000-0400-000000000000}">
      <formula1>ВидСпортаЧемпионат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Мастерская!$E$1:$E$3</xm:f>
          </x14:formula1>
          <xm:sqref>P2:P71 P202:P1048576</xm:sqref>
        </x14:dataValidation>
        <x14:dataValidation type="list" allowBlank="1" showInputMessage="1" showErrorMessage="1" xr:uid="{00000000-0002-0000-0400-000002000000}">
          <x14:formula1>
            <xm:f>Мастерская!$A$1:$A$6</xm:f>
          </x14:formula1>
          <xm:sqref>E2:E71</xm:sqref>
        </x14:dataValidation>
        <x14:dataValidation type="list" allowBlank="1" showInputMessage="1" showErrorMessage="1" xr:uid="{00000000-0002-0000-0400-000003000000}">
          <x14:formula1>
            <xm:f>Мастерская!$C$1:$C$3</xm:f>
          </x14:formula1>
          <xm:sqref>N2:N71 N202:N1048576</xm:sqref>
        </x14:dataValidation>
        <x14:dataValidation type="list" allowBlank="1" showInputMessage="1" showErrorMessage="1" xr:uid="{00000000-0002-0000-0400-000005000000}">
          <x14:formula1>
            <xm:f>Мастерская!$I:$I</xm:f>
          </x14:formula1>
          <xm:sqref>O202:O1048576</xm:sqref>
        </x14:dataValidation>
        <x14:dataValidation type="list" allowBlank="1" showInputMessage="1" showErrorMessage="1" xr:uid="{00000000-0002-0000-0400-000006000000}">
          <x14:formula1>
            <xm:f>Мастерская!$A:$A</xm:f>
          </x14:formula1>
          <xm:sqref>E202:E1048576</xm:sqref>
        </x14:dataValidation>
        <x14:dataValidation type="list" allowBlank="1" showInputMessage="1" showErrorMessage="1" xr:uid="{28F62021-5DFB-4766-8FFD-86702F808677}">
          <x14:formula1>
            <xm:f>Мастерская!$B$1:$B$23</xm:f>
          </x14:formula1>
          <xm:sqref>D2:D71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AX201"/>
  <sheetViews>
    <sheetView zoomScale="70" zoomScaleNormal="70" workbookViewId="0">
      <selection activeCell="A2" sqref="A2"/>
    </sheetView>
  </sheetViews>
  <sheetFormatPr defaultRowHeight="14.4" x14ac:dyDescent="0.3"/>
  <cols>
    <col min="1" max="1" width="12.109375" customWidth="1"/>
    <col min="2" max="2" width="12.6640625" customWidth="1"/>
    <col min="4" max="4" width="31.77734375" customWidth="1"/>
    <col min="5" max="5" width="18.6640625" style="20" customWidth="1"/>
    <col min="6" max="6" width="14.109375" style="17" customWidth="1"/>
    <col min="7" max="7" width="14.6640625" style="17" customWidth="1"/>
    <col min="8" max="8" width="14.88671875" style="17" customWidth="1"/>
    <col min="9" max="9" width="18" style="17" customWidth="1"/>
    <col min="10" max="10" width="20.33203125" style="17" customWidth="1"/>
    <col min="11" max="11" width="21.33203125" style="17" customWidth="1"/>
    <col min="12" max="12" width="23.109375" style="74" customWidth="1"/>
    <col min="13" max="13" width="20" style="79" customWidth="1"/>
    <col min="14" max="14" width="13" customWidth="1"/>
    <col min="15" max="15" width="29.33203125" style="13" customWidth="1"/>
    <col min="16" max="16" width="12.5546875" style="20" customWidth="1"/>
    <col min="17" max="17" width="19.109375" style="17" customWidth="1"/>
    <col min="18" max="18" width="19.109375" style="32" customWidth="1"/>
    <col min="19" max="19" width="10.5546875" customWidth="1"/>
    <col min="20" max="20" width="9.109375" customWidth="1"/>
    <col min="21" max="21" width="9.44140625" customWidth="1"/>
    <col min="22" max="22" width="10.6640625" customWidth="1"/>
    <col min="23" max="23" width="9.6640625" customWidth="1"/>
    <col min="24" max="24" width="15.33203125" customWidth="1"/>
    <col min="34" max="34" width="12" customWidth="1"/>
    <col min="35" max="35" width="28.88671875" customWidth="1"/>
    <col min="38" max="38" width="14.109375" customWidth="1"/>
    <col min="39" max="39" width="15.77734375" customWidth="1"/>
    <col min="41" max="41" width="20.44140625" customWidth="1"/>
    <col min="42" max="42" width="27.109375" customWidth="1"/>
    <col min="43" max="43" width="28" customWidth="1"/>
    <col min="44" max="44" width="33.44140625" customWidth="1"/>
    <col min="45" max="45" width="30.5546875" customWidth="1"/>
    <col min="46" max="46" width="21.109375" customWidth="1"/>
    <col min="47" max="47" width="15" customWidth="1"/>
    <col min="48" max="48" width="19.88671875" customWidth="1"/>
    <col min="49" max="49" width="14.6640625" customWidth="1"/>
    <col min="50" max="50" width="15.44140625" customWidth="1"/>
  </cols>
  <sheetData>
    <row r="1" spans="1:50" ht="78" customHeight="1" thickTop="1" thickBot="1" x14ac:dyDescent="0.35">
      <c r="A1" s="46" t="s">
        <v>0</v>
      </c>
      <c r="B1" s="47" t="s">
        <v>1</v>
      </c>
      <c r="C1" s="2"/>
      <c r="D1" s="116" t="s">
        <v>179</v>
      </c>
      <c r="E1" s="114" t="s">
        <v>5</v>
      </c>
      <c r="F1" s="7" t="s">
        <v>2</v>
      </c>
      <c r="G1" s="8" t="s">
        <v>10</v>
      </c>
      <c r="H1" s="8" t="s">
        <v>6</v>
      </c>
      <c r="I1" s="7" t="s">
        <v>4</v>
      </c>
      <c r="J1" s="9" t="s">
        <v>9</v>
      </c>
      <c r="K1" s="8" t="s">
        <v>11</v>
      </c>
      <c r="L1" s="10" t="s">
        <v>7</v>
      </c>
      <c r="M1" s="10" t="s">
        <v>8</v>
      </c>
      <c r="N1" s="7" t="s">
        <v>3</v>
      </c>
      <c r="O1" s="11" t="s">
        <v>20</v>
      </c>
      <c r="P1" s="7" t="s">
        <v>19</v>
      </c>
      <c r="Q1" s="29" t="s">
        <v>12</v>
      </c>
      <c r="R1" s="12" t="s">
        <v>89</v>
      </c>
      <c r="T1" s="43" t="s">
        <v>14</v>
      </c>
      <c r="U1" s="44" t="s">
        <v>68</v>
      </c>
      <c r="V1" s="63" t="s">
        <v>69</v>
      </c>
      <c r="W1" s="44" t="s">
        <v>13</v>
      </c>
      <c r="X1" s="45" t="s">
        <v>70</v>
      </c>
      <c r="Z1" s="148" t="s">
        <v>65</v>
      </c>
      <c r="AA1" s="149"/>
      <c r="AB1" s="149"/>
      <c r="AC1" s="149"/>
      <c r="AD1" s="149"/>
      <c r="AE1" s="149"/>
      <c r="AF1" s="149"/>
      <c r="AG1" s="149"/>
      <c r="AH1" s="149"/>
      <c r="AI1" s="12">
        <f t="array" ref="AI1">INDEX(D2:D71,MATCH(MAX(COUNTIF(D2:D71,D2:D71)),COUNTIF(D2:D71,D2:D71),0))</f>
        <v>0</v>
      </c>
      <c r="AK1" s="148" t="s">
        <v>175</v>
      </c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50"/>
    </row>
    <row r="2" spans="1:50" ht="16.5" customHeight="1" thickTop="1" thickBot="1" x14ac:dyDescent="0.35">
      <c r="A2" s="48"/>
      <c r="B2" s="49"/>
      <c r="D2" s="118"/>
      <c r="E2" s="115" t="s">
        <v>16</v>
      </c>
      <c r="F2" s="21"/>
      <c r="G2" s="21"/>
      <c r="H2" s="22" t="e">
        <f>(F2*100)/G2</f>
        <v>#DIV/0!</v>
      </c>
      <c r="I2" s="67"/>
      <c r="J2" s="21">
        <f>F2*I2+IF(N2="Фрибет",(F2*I2-F2)-F2*I2)</f>
        <v>0</v>
      </c>
      <c r="K2" s="22" t="e">
        <f>((J2*100)/G2)</f>
        <v>#DIV/0!</v>
      </c>
      <c r="L2" s="68" t="e">
        <f>1-M2</f>
        <v>#DIV/0!</v>
      </c>
      <c r="M2" s="69" t="e">
        <f>1/I2</f>
        <v>#DIV/0!</v>
      </c>
      <c r="N2" s="5"/>
      <c r="O2" s="28"/>
      <c r="P2" s="18" t="s">
        <v>39</v>
      </c>
      <c r="Q2" s="30">
        <f>IF(P2="Победа",1)+IF(P2="Поражение",0)+IF(P2="Не ставил",-2)</f>
        <v>-2</v>
      </c>
      <c r="R2" s="37"/>
      <c r="T2" s="39">
        <f>COUNTIF(Q2:Q1048576,1)+COUNTIF(Q2:Q1048576, 0)</f>
        <v>0</v>
      </c>
      <c r="U2" s="61">
        <f>COUNTIF(Q2:Q1048576,1)</f>
        <v>0</v>
      </c>
      <c r="V2" s="62">
        <f>COUNTIF(Q2:Q1048576,0)</f>
        <v>0</v>
      </c>
      <c r="W2" s="40" t="e">
        <f>(SUMIF(Q2:Q1048576,"=1")+SUMIF(Q2:Q1048576,"=0")*100)/T2</f>
        <v>#DIV/0!</v>
      </c>
      <c r="X2" s="41" t="e">
        <f>1-W2</f>
        <v>#DIV/0!</v>
      </c>
      <c r="Z2" s="190" t="s">
        <v>5</v>
      </c>
      <c r="AA2" s="160" t="s">
        <v>2</v>
      </c>
      <c r="AB2" s="192" t="s">
        <v>10</v>
      </c>
      <c r="AC2" s="193"/>
      <c r="AD2" s="192" t="s">
        <v>6</v>
      </c>
      <c r="AE2" s="193"/>
      <c r="AF2" s="144" t="s">
        <v>4</v>
      </c>
      <c r="AG2" s="144" t="s">
        <v>64</v>
      </c>
      <c r="AH2" s="144" t="s">
        <v>63</v>
      </c>
      <c r="AI2" s="175" t="s">
        <v>66</v>
      </c>
      <c r="AK2" s="179" t="s">
        <v>84</v>
      </c>
      <c r="AL2" s="180"/>
      <c r="AM2" s="185" t="s">
        <v>85</v>
      </c>
      <c r="AN2" s="180"/>
      <c r="AO2" s="186" t="s">
        <v>86</v>
      </c>
      <c r="AP2" s="187"/>
      <c r="AQ2" s="185" t="s">
        <v>87</v>
      </c>
      <c r="AR2" s="180"/>
      <c r="AS2" s="156" t="s">
        <v>123</v>
      </c>
      <c r="AT2" s="157"/>
      <c r="AU2" s="160" t="s">
        <v>119</v>
      </c>
      <c r="AV2" s="144" t="s">
        <v>120</v>
      </c>
      <c r="AW2" s="144" t="s">
        <v>121</v>
      </c>
      <c r="AX2" s="146" t="s">
        <v>122</v>
      </c>
    </row>
    <row r="3" spans="1:50" x14ac:dyDescent="0.3">
      <c r="A3" s="50"/>
      <c r="B3" s="51"/>
      <c r="D3" s="119"/>
      <c r="E3" s="115" t="s">
        <v>16</v>
      </c>
      <c r="F3" s="23"/>
      <c r="G3" s="23"/>
      <c r="H3" s="24" t="e">
        <f t="shared" ref="H3:H25" si="0">(F3*100)/G3</f>
        <v>#DIV/0!</v>
      </c>
      <c r="I3" s="33"/>
      <c r="J3" s="21">
        <f t="shared" ref="J3:J66" si="1">F3*I3+IF(N3="Фрибет",(F3*I3-F3)-F3*I3)</f>
        <v>0</v>
      </c>
      <c r="K3" s="24" t="e">
        <f t="shared" ref="K3:K66" si="2">((J3*100)/G3)</f>
        <v>#DIV/0!</v>
      </c>
      <c r="L3" s="70" t="e">
        <f t="shared" ref="L3:L66" si="3">1-M3</f>
        <v>#DIV/0!</v>
      </c>
      <c r="M3" s="75" t="e">
        <f t="shared" ref="M3:M66" si="4">1/I3</f>
        <v>#DIV/0!</v>
      </c>
      <c r="N3" s="1"/>
      <c r="O3" s="28"/>
      <c r="P3" s="19" t="s">
        <v>39</v>
      </c>
      <c r="Q3" s="31">
        <f>IF(P3="Победа",1)+IF(P3="Поражение",0)+IF(P3="Не ставил",-2)</f>
        <v>-2</v>
      </c>
      <c r="R3" s="38"/>
      <c r="T3" s="3"/>
      <c r="Z3" s="191"/>
      <c r="AA3" s="161"/>
      <c r="AB3" s="194"/>
      <c r="AC3" s="195"/>
      <c r="AD3" s="194"/>
      <c r="AE3" s="195"/>
      <c r="AF3" s="145"/>
      <c r="AG3" s="145"/>
      <c r="AH3" s="145"/>
      <c r="AI3" s="176"/>
      <c r="AK3" s="181"/>
      <c r="AL3" s="159"/>
      <c r="AM3" s="158"/>
      <c r="AN3" s="159"/>
      <c r="AO3" s="188"/>
      <c r="AP3" s="189"/>
      <c r="AQ3" s="158"/>
      <c r="AR3" s="159"/>
      <c r="AS3" s="158"/>
      <c r="AT3" s="159"/>
      <c r="AU3" s="161"/>
      <c r="AV3" s="145"/>
      <c r="AW3" s="145"/>
      <c r="AX3" s="147"/>
    </row>
    <row r="4" spans="1:50" ht="15" thickBot="1" x14ac:dyDescent="0.35">
      <c r="A4" s="50"/>
      <c r="B4" s="51"/>
      <c r="D4" s="119"/>
      <c r="E4" s="115" t="s">
        <v>16</v>
      </c>
      <c r="F4" s="14"/>
      <c r="G4" s="14"/>
      <c r="H4" s="15" t="e">
        <f t="shared" si="0"/>
        <v>#DIV/0!</v>
      </c>
      <c r="I4" s="35"/>
      <c r="J4" s="21">
        <f t="shared" si="1"/>
        <v>0</v>
      </c>
      <c r="K4" s="15" t="e">
        <f t="shared" si="2"/>
        <v>#DIV/0!</v>
      </c>
      <c r="L4" s="71" t="e">
        <f t="shared" si="3"/>
        <v>#DIV/0!</v>
      </c>
      <c r="M4" s="76" t="e">
        <f t="shared" si="4"/>
        <v>#DIV/0!</v>
      </c>
      <c r="N4" s="16"/>
      <c r="O4" s="28"/>
      <c r="P4" s="19" t="s">
        <v>39</v>
      </c>
      <c r="Q4" s="30">
        <f t="shared" ref="Q4:Q67" si="5">IF(P4="Победа",1)+IF(P4="Поражение",0)+IF(P4="Не ставил",-2)</f>
        <v>-2</v>
      </c>
      <c r="R4" s="38"/>
      <c r="Z4" s="89" t="str">
        <f t="array" ref="Z4">INDEX(E2:E71,MATCH(MAX(COUNTIF(E2:E71,E2:E71)),COUNTIF(E2:E71,E2:E71),0))</f>
        <v>Моя</v>
      </c>
      <c r="AA4" s="57" t="e">
        <f>AVERAGE(F2:F1048576)</f>
        <v>#DIV/0!</v>
      </c>
      <c r="AB4" s="177" t="e">
        <f>AVERAGE(G2:G1048576)</f>
        <v>#DIV/0!</v>
      </c>
      <c r="AC4" s="178"/>
      <c r="AD4" s="183" t="e">
        <f>AVERAGEIF(H2:H1048576, "&gt;0")</f>
        <v>#DIV/0!</v>
      </c>
      <c r="AE4" s="184"/>
      <c r="AF4" s="111" t="e">
        <f>AVERAGE(I2:I1048576)</f>
        <v>#DIV/0!</v>
      </c>
      <c r="AG4" s="85" t="e">
        <f>AVERAGEIF(L2:L1048576,"&gt;0")</f>
        <v>#DIV/0!</v>
      </c>
      <c r="AH4" s="87">
        <f t="array" ref="AH4">INDEX(N2:N71,MATCH(MAX(COUNTIF(N2:N71,N2:N71)),COUNTIF(N2:N71,N2:N71),0))</f>
        <v>0</v>
      </c>
      <c r="AI4" s="88">
        <f t="array" ref="AI4">INDEX(O2:O71,MATCH(MAX(COUNTIF(O2:O71,O2:O71)),COUNTIF(O2:O71,O2:O71),0))</f>
        <v>0</v>
      </c>
      <c r="AK4" s="182">
        <f>MAX(F2:F1048576)</f>
        <v>0</v>
      </c>
      <c r="AL4" s="178"/>
      <c r="AM4" s="177">
        <f>MIN(F2:F1048576)</f>
        <v>0</v>
      </c>
      <c r="AN4" s="178"/>
      <c r="AO4" s="183">
        <f>MAX(I2:I1048576)</f>
        <v>0</v>
      </c>
      <c r="AP4" s="184"/>
      <c r="AQ4" s="183">
        <f>MIN(I2:I1048576)</f>
        <v>0</v>
      </c>
      <c r="AR4" s="184"/>
      <c r="AS4" s="177">
        <f>MAX(J2:J1048576)</f>
        <v>0</v>
      </c>
      <c r="AT4" s="178"/>
      <c r="AU4" s="58">
        <f t="array" ref="AU4">MAX(IF(P2:P71=Мастерская!E1,J2:J71))</f>
        <v>0</v>
      </c>
      <c r="AV4" s="58">
        <f t="array" ref="AV4">MIN(IF(P2:P71=Мастерская!E1,J2:J71))</f>
        <v>0</v>
      </c>
      <c r="AW4" s="58">
        <f t="array" ref="AW4">MAX(IF(P2:P71=Мастерская!E2,F2:F71))</f>
        <v>0</v>
      </c>
      <c r="AX4" s="66">
        <f t="array" ref="AX4">MIN(IF(P2:P71=Мастерская!E2,F2:F71))</f>
        <v>0</v>
      </c>
    </row>
    <row r="5" spans="1:50" x14ac:dyDescent="0.3">
      <c r="A5" s="50"/>
      <c r="B5" s="51"/>
      <c r="D5" s="119"/>
      <c r="E5" s="115" t="s">
        <v>16</v>
      </c>
      <c r="F5" s="23"/>
      <c r="G5" s="23"/>
      <c r="H5" s="24" t="e">
        <f t="shared" si="0"/>
        <v>#DIV/0!</v>
      </c>
      <c r="I5" s="33"/>
      <c r="J5" s="21">
        <f t="shared" si="1"/>
        <v>0</v>
      </c>
      <c r="K5" s="24" t="e">
        <f t="shared" si="2"/>
        <v>#DIV/0!</v>
      </c>
      <c r="L5" s="70" t="e">
        <f t="shared" si="3"/>
        <v>#DIV/0!</v>
      </c>
      <c r="M5" s="75" t="e">
        <f t="shared" si="4"/>
        <v>#DIV/0!</v>
      </c>
      <c r="N5" s="1"/>
      <c r="O5" s="28"/>
      <c r="P5" s="19" t="s">
        <v>39</v>
      </c>
      <c r="Q5" s="31">
        <f t="shared" si="5"/>
        <v>-2</v>
      </c>
      <c r="R5" s="38"/>
    </row>
    <row r="6" spans="1:50" ht="15" thickBot="1" x14ac:dyDescent="0.35">
      <c r="A6" s="50"/>
      <c r="B6" s="51"/>
      <c r="D6" s="119"/>
      <c r="E6" s="115" t="s">
        <v>16</v>
      </c>
      <c r="F6" s="23"/>
      <c r="G6" s="23"/>
      <c r="H6" s="24" t="e">
        <f t="shared" si="0"/>
        <v>#DIV/0!</v>
      </c>
      <c r="I6" s="33"/>
      <c r="J6" s="21">
        <f t="shared" si="1"/>
        <v>0</v>
      </c>
      <c r="K6" s="24" t="e">
        <f t="shared" si="2"/>
        <v>#DIV/0!</v>
      </c>
      <c r="L6" s="70" t="e">
        <f t="shared" si="3"/>
        <v>#DIV/0!</v>
      </c>
      <c r="M6" s="75" t="e">
        <f t="shared" si="4"/>
        <v>#DIV/0!</v>
      </c>
      <c r="N6" s="1"/>
      <c r="O6" s="28"/>
      <c r="P6" s="19" t="s">
        <v>39</v>
      </c>
      <c r="Q6" s="30">
        <f t="shared" si="5"/>
        <v>-2</v>
      </c>
      <c r="R6" s="38"/>
    </row>
    <row r="7" spans="1:50" ht="15.6" thickTop="1" thickBot="1" x14ac:dyDescent="0.35">
      <c r="A7" s="50"/>
      <c r="B7" s="51"/>
      <c r="D7" s="119"/>
      <c r="E7" s="115" t="s">
        <v>16</v>
      </c>
      <c r="F7" s="23"/>
      <c r="G7" s="23"/>
      <c r="H7" s="24" t="e">
        <f t="shared" si="0"/>
        <v>#DIV/0!</v>
      </c>
      <c r="I7" s="33"/>
      <c r="J7" s="21">
        <f t="shared" si="1"/>
        <v>0</v>
      </c>
      <c r="K7" s="24" t="e">
        <f t="shared" si="2"/>
        <v>#DIV/0!</v>
      </c>
      <c r="L7" s="70" t="e">
        <f t="shared" si="3"/>
        <v>#DIV/0!</v>
      </c>
      <c r="M7" s="75" t="e">
        <f t="shared" si="4"/>
        <v>#DIV/0!</v>
      </c>
      <c r="N7" s="1"/>
      <c r="O7" s="28"/>
      <c r="P7" s="19" t="s">
        <v>39</v>
      </c>
      <c r="Q7" s="31">
        <f t="shared" si="5"/>
        <v>-2</v>
      </c>
      <c r="R7" s="38"/>
      <c r="AO7" s="196" t="s">
        <v>90</v>
      </c>
      <c r="AP7" s="203"/>
      <c r="AQ7" s="203"/>
      <c r="AR7" s="203"/>
      <c r="AS7" s="203"/>
      <c r="AT7" s="197"/>
    </row>
    <row r="8" spans="1:50" ht="15" thickTop="1" x14ac:dyDescent="0.3">
      <c r="A8" s="50"/>
      <c r="B8" s="51"/>
      <c r="D8" s="119"/>
      <c r="E8" s="115" t="s">
        <v>16</v>
      </c>
      <c r="F8" s="23"/>
      <c r="G8" s="23"/>
      <c r="H8" s="24" t="e">
        <f t="shared" si="0"/>
        <v>#DIV/0!</v>
      </c>
      <c r="I8" s="33"/>
      <c r="J8" s="21">
        <f t="shared" si="1"/>
        <v>0</v>
      </c>
      <c r="K8" s="24" t="e">
        <f t="shared" si="2"/>
        <v>#DIV/0!</v>
      </c>
      <c r="L8" s="70" t="e">
        <f t="shared" si="3"/>
        <v>#DIV/0!</v>
      </c>
      <c r="M8" s="75" t="e">
        <f t="shared" si="4"/>
        <v>#DIV/0!</v>
      </c>
      <c r="N8" s="1"/>
      <c r="O8" s="28"/>
      <c r="P8" s="19" t="s">
        <v>39</v>
      </c>
      <c r="Q8" s="30">
        <f t="shared" si="5"/>
        <v>-2</v>
      </c>
      <c r="R8" s="38"/>
      <c r="AO8" s="166" t="s">
        <v>178</v>
      </c>
      <c r="AP8" s="167"/>
      <c r="AQ8" s="168" t="s">
        <v>17</v>
      </c>
      <c r="AR8" s="167"/>
      <c r="AS8" s="168" t="s">
        <v>40</v>
      </c>
      <c r="AT8" s="169"/>
    </row>
    <row r="9" spans="1:50" ht="15" thickBot="1" x14ac:dyDescent="0.35">
      <c r="A9" s="52"/>
      <c r="B9" s="51"/>
      <c r="D9" s="119"/>
      <c r="E9" s="115" t="s">
        <v>16</v>
      </c>
      <c r="F9" s="23"/>
      <c r="G9" s="23"/>
      <c r="H9" s="24" t="e">
        <f t="shared" si="0"/>
        <v>#DIV/0!</v>
      </c>
      <c r="I9" s="33"/>
      <c r="J9" s="21">
        <f t="shared" si="1"/>
        <v>0</v>
      </c>
      <c r="K9" s="24" t="e">
        <f t="shared" si="2"/>
        <v>#DIV/0!</v>
      </c>
      <c r="L9" s="70" t="e">
        <f t="shared" si="3"/>
        <v>#DIV/0!</v>
      </c>
      <c r="M9" s="75" t="e">
        <f t="shared" si="4"/>
        <v>#DIV/0!</v>
      </c>
      <c r="N9" s="1"/>
      <c r="O9" s="28"/>
      <c r="P9" s="19" t="s">
        <v>39</v>
      </c>
      <c r="Q9" s="31">
        <f t="shared" si="5"/>
        <v>-2</v>
      </c>
      <c r="R9" s="38"/>
      <c r="AO9" s="162">
        <f>COUNTIF(N2:N1048576, "Одинар")</f>
        <v>0</v>
      </c>
      <c r="AP9" s="163"/>
      <c r="AQ9" s="164">
        <f>COUNTIF(N2:N1048576, "Экспресс")</f>
        <v>0</v>
      </c>
      <c r="AR9" s="163"/>
      <c r="AS9" s="164">
        <f>COUNTIF(N2:N1048576, "Фрибет")</f>
        <v>0</v>
      </c>
      <c r="AT9" s="165"/>
    </row>
    <row r="10" spans="1:50" ht="15" thickBot="1" x14ac:dyDescent="0.35">
      <c r="A10" s="52"/>
      <c r="B10" s="51"/>
      <c r="D10" s="119"/>
      <c r="E10" s="115" t="s">
        <v>16</v>
      </c>
      <c r="F10" s="25"/>
      <c r="G10" s="25"/>
      <c r="H10" s="26" t="e">
        <f t="shared" si="0"/>
        <v>#DIV/0!</v>
      </c>
      <c r="I10" s="36"/>
      <c r="J10" s="21">
        <f t="shared" si="1"/>
        <v>0</v>
      </c>
      <c r="K10" s="26" t="e">
        <f t="shared" si="2"/>
        <v>#DIV/0!</v>
      </c>
      <c r="L10" s="72" t="e">
        <f t="shared" si="3"/>
        <v>#DIV/0!</v>
      </c>
      <c r="M10" s="77" t="e">
        <f t="shared" si="4"/>
        <v>#DIV/0!</v>
      </c>
      <c r="N10" s="4"/>
      <c r="O10" s="28"/>
      <c r="P10" s="19" t="s">
        <v>39</v>
      </c>
      <c r="Q10" s="30">
        <f t="shared" si="5"/>
        <v>-2</v>
      </c>
      <c r="R10" s="38"/>
    </row>
    <row r="11" spans="1:50" ht="15.6" thickTop="1" thickBot="1" x14ac:dyDescent="0.35">
      <c r="A11" s="50"/>
      <c r="B11" s="51"/>
      <c r="D11" s="119"/>
      <c r="E11" s="115" t="s">
        <v>16</v>
      </c>
      <c r="F11" s="23"/>
      <c r="G11" s="23"/>
      <c r="H11" s="24" t="e">
        <f t="shared" si="0"/>
        <v>#DIV/0!</v>
      </c>
      <c r="I11" s="33"/>
      <c r="J11" s="21">
        <f t="shared" si="1"/>
        <v>0</v>
      </c>
      <c r="K11" s="24" t="e">
        <f t="shared" si="2"/>
        <v>#DIV/0!</v>
      </c>
      <c r="L11" s="70" t="e">
        <f t="shared" si="3"/>
        <v>#DIV/0!</v>
      </c>
      <c r="M11" s="75" t="e">
        <f t="shared" si="4"/>
        <v>#DIV/0!</v>
      </c>
      <c r="N11" s="1"/>
      <c r="O11" s="28"/>
      <c r="P11" s="19" t="s">
        <v>39</v>
      </c>
      <c r="Q11" s="31">
        <f t="shared" si="5"/>
        <v>-2</v>
      </c>
      <c r="R11" s="38"/>
      <c r="AO11" s="200" t="s">
        <v>177</v>
      </c>
      <c r="AP11" s="201"/>
      <c r="AQ11" s="201"/>
      <c r="AR11" s="201"/>
      <c r="AS11" s="201"/>
      <c r="AT11" s="201"/>
      <c r="AU11" s="201"/>
      <c r="AV11" s="202"/>
    </row>
    <row r="12" spans="1:50" ht="15" thickTop="1" x14ac:dyDescent="0.3">
      <c r="A12" s="50"/>
      <c r="B12" s="51"/>
      <c r="D12" s="119"/>
      <c r="E12" s="115" t="s">
        <v>16</v>
      </c>
      <c r="F12" s="21"/>
      <c r="G12" s="21"/>
      <c r="H12" s="22" t="e">
        <f t="shared" si="0"/>
        <v>#DIV/0!</v>
      </c>
      <c r="I12" s="34"/>
      <c r="J12" s="21">
        <f t="shared" si="1"/>
        <v>0</v>
      </c>
      <c r="K12" s="22" t="e">
        <f t="shared" si="2"/>
        <v>#DIV/0!</v>
      </c>
      <c r="L12" s="68" t="e">
        <f t="shared" si="3"/>
        <v>#DIV/0!</v>
      </c>
      <c r="M12" s="69" t="e">
        <f t="shared" si="4"/>
        <v>#DIV/0!</v>
      </c>
      <c r="N12" s="5"/>
      <c r="O12" s="28"/>
      <c r="P12" s="19" t="s">
        <v>39</v>
      </c>
      <c r="Q12" s="30">
        <f t="shared" si="5"/>
        <v>-2</v>
      </c>
      <c r="R12" s="38"/>
      <c r="AO12" s="154" t="s">
        <v>33</v>
      </c>
      <c r="AP12" s="155"/>
      <c r="AQ12" s="155"/>
      <c r="AR12" s="96" t="s">
        <v>109</v>
      </c>
      <c r="AS12" s="96" t="s">
        <v>110</v>
      </c>
      <c r="AT12" s="155" t="s">
        <v>111</v>
      </c>
      <c r="AU12" s="155"/>
      <c r="AV12" s="91" t="s">
        <v>112</v>
      </c>
    </row>
    <row r="13" spans="1:50" ht="15" thickBot="1" x14ac:dyDescent="0.35">
      <c r="A13" s="50"/>
      <c r="B13" s="51"/>
      <c r="D13" s="119"/>
      <c r="E13" s="115" t="s">
        <v>16</v>
      </c>
      <c r="F13" s="23"/>
      <c r="G13" s="23"/>
      <c r="H13" s="24" t="e">
        <f t="shared" si="0"/>
        <v>#DIV/0!</v>
      </c>
      <c r="I13" s="33"/>
      <c r="J13" s="21">
        <f t="shared" si="1"/>
        <v>0</v>
      </c>
      <c r="K13" s="24" t="e">
        <f t="shared" si="2"/>
        <v>#DIV/0!</v>
      </c>
      <c r="L13" s="70" t="e">
        <f t="shared" si="3"/>
        <v>#DIV/0!</v>
      </c>
      <c r="M13" s="75" t="e">
        <f t="shared" si="4"/>
        <v>#DIV/0!</v>
      </c>
      <c r="N13" s="1"/>
      <c r="O13" s="28"/>
      <c r="P13" s="19" t="s">
        <v>39</v>
      </c>
      <c r="Q13" s="31">
        <f t="shared" si="5"/>
        <v>-2</v>
      </c>
      <c r="R13" s="38"/>
      <c r="AO13" s="173">
        <f>IF(AO12="Футбол - Лига Чемпионов УЕФА",Мастерская!J1, 0)+IF(AO12="Футбол - Лига Европы УЕФА",Мастерская!J2, 0)+IF(AO12="Футбол - Еврокубки. Другое",Мастерская!J3, 0)+IF(AO12="Футбол - Россия. РПЛ",Мастерская!J4, 0)+IF(AO12="Футбол - Кубок России",Мастерская!J5, 0)+IF(AO12="Футбол - Россия. ФНЛ",Мастерская!J6, 0)+IF(AO12="Футбол - Россия. ПФЛ",Мастерская!J7, 0)+IF(AO12="Футбол - Россия. Другое",Мастерская!J8, 0)+IF(AO12="Футбол - Англия. АПЛ",Мастерская!J9, 0)+IF(AO12="Футбол - Кубок Англии",Мастерская!J10, 0)+IF(AO12="Футбол - Англия. Кубок Лиги",Мастерская!J11, 0)+IF(AO12="Футбол - Англия. Чемпионшип",Мастерская!J12, 0)+IF(AO12="Футбол - Испания. Ла Лига",Мастерская!J13, 0)+IF(AO12="Футбол - Италия. Серия А",Мастерская!J14, 0)+IF(AO12="Футбол - Германия. Бундеслига",Мастерская!J15, 0)+IF(AO12="Футбол - Франция. Лига 1",Мастерская!J16, 0)+IF(AO12="Футбол - Португалия. Лига NOS",Мастерская!J17, 0)+IF(AO12="Футбол - Турция. Суперлига",Мастерская!J18, 0)+IF(AO12="Футбол - Нидерланды. Эредивизи",Мастерская!J19, 0)+IF(AO12="Футбол - Греция. Суперлига",Мастерская!J20, 0)+IF(AO12="Футбол - Украина. УПЛ",Мастерская!J21, 0)+IF(AO12="Футбол - Кубок Либертадорес",Мастерская!J22, 0)+IF(AO12="Футбол - США/Канада. MLS",Мастерская!J23, 0)+IF(AO12="Футбол - Бразилия. Сериа А",Мастерская!J24, 0)+IF(AO12="Футбол - Аргентина. Суперлига",Мастерская!J25, 0)+IF(AO12="Футбол - Китай. Суперлига",Мастерская!J26, 0)+IF(AO12="Футбол - Сборные. Чемпионат мира",Мастерская!J27, 0)+IF(AO12="Футбол - Сборные. Чемпионат Европы",Мастерская!J28, 0)+IF(AO12="Футбол - Сборные. Лига Наций",Мастерская!J29, 0)+IF(AO12="Футбол - Сборные. Кубок Америки",Мастерская!J30, 0)+IF(AO12="Футбол - Сборные. Кубок Азии",Мастерская!J31, 0)+IF(AO12="Футбол - Сборные. Кубок Африки",Мастерская!J32, 0)+IF(AO12="Футбол - Сборные. КОНКАКАФ",Мастерская!J33, 0)+IF(AO12="Футбол - Сборные.  Другое",Мастерская!J34, 0)+IF(AO12="Хоккей - КХЛ",Мастерская!J35, 0)+IF(AO12="Хоккей - НХЛ",Мастерская!J36, 0)+IF(AO12="Хоккей - Сборные. Чемпионат мира",Мастерская!J37, 0)+IF(AO12="Хоккей - Сборные. Евротур",Мастерская!J38, 0)+IF(AO12="Смешанные единоборства - UFC",Мастерская!J39, 0)+IF(AO12="Смешанные единоборства - Bellator",Мастерская!J40, 0)+IF(AO12="Смешанные единоборства - M-1",Мастерская!J41, 0)+IF(AO12="Смешанные единоборства - Fight Nights Global",Мастерская!J42, 0)+IF(AO12="Бокс - WBA",Мастерская!J43, 0)+IF(AO12="Бокс - WBC",Мастерская!J44, 0)+IF(AO12="Бокс - WBO",Мастерская!J45, 0)+IF(AO12="Бокс - IBF",Мастерская!J46, 0)+IF(AO12="Бокс - IBO",Мастерская!J47, 0)+IF(AO12="Теннис - Уимблдон. ATP",Мастерская!J48, 0)+IF(AO12="Теннис - Уимблдон. WTA",Мастерская!J49, 0)+IF(AO12="Теннис - Australian Open",Мастерская!J50, 0)+IF(AO12="Теннис - Франция. Ролан Гаррос",Мастерская!J51, 0)+IF(AO12="Теннис - US Open",Мастерская!J52, 0)+IF(AO12="Теннис - Кубок Федерации",Мастерская!J53, 0)+IF(AO12="Теннис - Кубок Дэвиса",Мастерская!J54, 0)+IF(AO12="Теннис - Кубок Кремля",Мастерская!J55, 0)+IF(AO12="Баскетбол - Сборные. Чемпионат мира",Мастерская!J56, 0)+IF(AO12="Баскетбол - Сборные. Чемпионат Европы",Мастерская!J57, 0)+IF(AO12="Баскетбол - Евролига",Мастерская!J58, 0)+IF(AO12="Баскетбол - Еврокубок",Мастерская!J59, 0)+IF(AO12="Баскетбол - Лига Чемпионов",Мастерская!J60, 0)+IF(AO12="Баскетбол - Россия. Единая Лига ВТБ",Мастерская!J61, 0)+IF(AO12="Баскетбол - США. NBA",Мастерская!J62, 0)+IF(AO12="Волейбол - Сборные. Чемпионат мира",Мастерская!J63, 0)+IF(AO12="Волейбол - Сборные. Кубок мира",Мастерская!J64, 0)+IF(AO12="Волейбол - Сборные. Всемирный Кубок Чемпионов",Мастерская!J65, 0)+IF(AO12="Волейбол - Сборные. Лига наций",Мастерская!J66, 0)+IF(AO12="Волейбол - Сборные. Чемпионат Европы",Мастерская!J67, 0)+IF(AO12="Волейбол - Евролига",Мастерская!J68, 0)+IF(AO12="Волейбол - Чемпионат России",Мастерская!J69, 0)+IF(AO12="Биатлон - Чемпионат мира",Мастерская!J70, 0)+IF(AO12="Биатлон - Чемпионат Европы",Мастерская!J71, 0)+IF(AO12="Биатлон - Кубок мира",Мастерская!J72, 0)+IF(AO12="Биатлон - Кубок IBU",Мастерская!J73, 0)+IF(AO12="Формула-1",Мастерская!J74, 0)+IF(AO12="Киберспорт - The International. Dota 2 Championships",Мастерская!J75, 0)+IF(AO12="Киберспорт - Другое",Мастерская!J76, 0)+IF(AO12="Мини-футбол - Сборные. Чемпионат мира",Мастерская!J77, 0)+IF(AO12="Мини-футбол - Сборные. Чемпионат Европы",Мастерская!J78, 0)+IF(AO12="Мини-футбол - Лига Чемпионов УЕФА",Мастерская!J79, 0)+IF(AO12="Мини-футбол - Россия. Суперлига",Мастерская!J80, 0)+IF(AO12="Мини-футбол - Бразилия. Лига футзала",Мастерская!J81, 0)+IF(AO12="Пляжный футбол - Сборные. Чемпионат мира",Мастерская!J82, 0)+IF(AO12="Пляжный футбол - Сборные. Межконтинентальный кубок",Мастерская!J83, 0)+IF(AO12="Пляжный футбол - Сборные. Кубок Европы",Мастерская!J84, 0)+IF(AO12="Пляжный футбол - Кубок европейских чемпионов",Мастерская!J85, 0)+IF(AO12="Пляжный футбол - Чемпионат России",Мастерская!J86, 0)+IF(AO12="Настольный теннис - Сборные. Чемпионат мира",Мастерская!J87, 0)+IF(AO12="Настольный теннис - Сборные. Чемпионат Европы",Мастерская!J88, 0)+IF(AO12="Хоккей с мячом - Сборные. Чемпионат мира",Мастерская!J89, 0)+IF(AO12="Хоккей с мячом - Россия. Суперлига",Мастерская!J90, 0)+IF(AO12="Гандбол",Мастерская!J91, 0)+IF(AO12="Снукер",Мастерская!J92, 0)+IF(AO12="Скачки",Мастерская!J93, 0)+IF(AO12="Американский футбол",Мастерская!J94, 0)+IF(AO12="Бейсбол",Мастерская!J95, 0)+IF(AO12="Водное поло",Мастерская!J96, 0)+IF(AO12="Лыжные гонки",Мастерская!J97, 0)+IF(AO12="Тяжёлая атлетика",Мастерская!J98, 0)+IF(AO12="Лёгкая атлетика",Мастерская!J99, 0)+IF(AO12="Регби",Мастерская!J100, 0)+IF(AO12="Пляжный волейбол",Мастерская!J101, 0)+IF(AO12="Кёрлинг",Мастерская!J102, 0)+IF(AO12="Гольф",Мастерская!J103, 0)+IF(AO12="Прыжки с трамплина",Мастерская!J104, 0)</f>
        <v>0</v>
      </c>
      <c r="AP13" s="174"/>
      <c r="AQ13" s="174"/>
      <c r="AR13" s="95">
        <f>SUM(Мастерская!J1:J34)</f>
        <v>0</v>
      </c>
      <c r="AS13" s="95">
        <f>SUM(Мастерская!J35:J38)</f>
        <v>0</v>
      </c>
      <c r="AT13" s="174">
        <f>SUM(Мастерская!J39:J42)</f>
        <v>0</v>
      </c>
      <c r="AU13" s="174"/>
      <c r="AV13" s="97">
        <f>SUM(Мастерская!J43:J47)</f>
        <v>0</v>
      </c>
    </row>
    <row r="14" spans="1:50" ht="15" thickTop="1" x14ac:dyDescent="0.3">
      <c r="A14" s="50"/>
      <c r="B14" s="51"/>
      <c r="D14" s="119"/>
      <c r="E14" s="115" t="s">
        <v>16</v>
      </c>
      <c r="F14" s="23"/>
      <c r="G14" s="23"/>
      <c r="H14" s="24" t="e">
        <f t="shared" si="0"/>
        <v>#DIV/0!</v>
      </c>
      <c r="I14" s="33"/>
      <c r="J14" s="21">
        <f t="shared" si="1"/>
        <v>0</v>
      </c>
      <c r="K14" s="24" t="e">
        <f t="shared" si="2"/>
        <v>#DIV/0!</v>
      </c>
      <c r="L14" s="70" t="e">
        <f t="shared" si="3"/>
        <v>#DIV/0!</v>
      </c>
      <c r="M14" s="75" t="e">
        <f t="shared" si="4"/>
        <v>#DIV/0!</v>
      </c>
      <c r="N14" s="1"/>
      <c r="O14" s="28"/>
      <c r="P14" s="19" t="s">
        <v>39</v>
      </c>
      <c r="Q14" s="30">
        <f t="shared" si="5"/>
        <v>-2</v>
      </c>
      <c r="R14" s="38"/>
      <c r="AO14" s="92" t="s">
        <v>113</v>
      </c>
      <c r="AP14" s="94" t="s">
        <v>114</v>
      </c>
      <c r="AQ14" s="94" t="s">
        <v>115</v>
      </c>
      <c r="AR14" s="94" t="s">
        <v>116</v>
      </c>
      <c r="AS14" s="94" t="s">
        <v>61</v>
      </c>
      <c r="AT14" s="94" t="s">
        <v>117</v>
      </c>
      <c r="AU14" s="94" t="s">
        <v>151</v>
      </c>
      <c r="AV14" s="98" t="s">
        <v>152</v>
      </c>
    </row>
    <row r="15" spans="1:50" ht="15" thickBot="1" x14ac:dyDescent="0.35">
      <c r="A15" s="50"/>
      <c r="B15" s="51"/>
      <c r="D15" s="119"/>
      <c r="E15" s="115" t="s">
        <v>16</v>
      </c>
      <c r="F15" s="23"/>
      <c r="G15" s="23"/>
      <c r="H15" s="24" t="e">
        <f t="shared" si="0"/>
        <v>#DIV/0!</v>
      </c>
      <c r="I15" s="33"/>
      <c r="J15" s="21">
        <f t="shared" si="1"/>
        <v>0</v>
      </c>
      <c r="K15" s="24" t="e">
        <f t="shared" si="2"/>
        <v>#DIV/0!</v>
      </c>
      <c r="L15" s="70" t="e">
        <f t="shared" si="3"/>
        <v>#DIV/0!</v>
      </c>
      <c r="M15" s="75" t="e">
        <f t="shared" si="4"/>
        <v>#DIV/0!</v>
      </c>
      <c r="N15" s="1"/>
      <c r="O15" s="28"/>
      <c r="P15" s="19" t="s">
        <v>39</v>
      </c>
      <c r="Q15" s="31">
        <f t="shared" si="5"/>
        <v>-2</v>
      </c>
      <c r="R15" s="38"/>
      <c r="AO15" s="93">
        <f>SUM(Мастерская!J48:J55)</f>
        <v>0</v>
      </c>
      <c r="AP15" s="95">
        <f>SUM(Мастерская!J56:J62)</f>
        <v>0</v>
      </c>
      <c r="AQ15" s="95">
        <f>SUM(Мастерская!J63:J69)</f>
        <v>0</v>
      </c>
      <c r="AR15" s="95">
        <f>SUM(Мастерская!J70:J73)</f>
        <v>0</v>
      </c>
      <c r="AS15" s="95">
        <f>Мастерская!J74</f>
        <v>0</v>
      </c>
      <c r="AT15" s="95">
        <f>SUM(Мастерская!J75:J76)</f>
        <v>0</v>
      </c>
      <c r="AU15" s="95">
        <f>SUM(Мастерская!J77:J81)</f>
        <v>0</v>
      </c>
      <c r="AV15" s="97">
        <f>SUM(Мастерская!J82:J86)</f>
        <v>0</v>
      </c>
    </row>
    <row r="16" spans="1:50" ht="15" thickTop="1" x14ac:dyDescent="0.3">
      <c r="A16" s="50"/>
      <c r="B16" s="51"/>
      <c r="D16" s="119"/>
      <c r="E16" s="115" t="s">
        <v>16</v>
      </c>
      <c r="F16" s="23"/>
      <c r="G16" s="23"/>
      <c r="H16" s="24" t="e">
        <f t="shared" si="0"/>
        <v>#DIV/0!</v>
      </c>
      <c r="I16" s="33"/>
      <c r="J16" s="21">
        <f t="shared" si="1"/>
        <v>0</v>
      </c>
      <c r="K16" s="24" t="e">
        <f t="shared" si="2"/>
        <v>#DIV/0!</v>
      </c>
      <c r="L16" s="70" t="e">
        <f t="shared" si="3"/>
        <v>#DIV/0!</v>
      </c>
      <c r="M16" s="75" t="e">
        <f t="shared" si="4"/>
        <v>#DIV/0!</v>
      </c>
      <c r="N16" s="1"/>
      <c r="O16" s="28"/>
      <c r="P16" s="19" t="s">
        <v>39</v>
      </c>
      <c r="Q16" s="30">
        <f t="shared" si="5"/>
        <v>-2</v>
      </c>
      <c r="R16" s="38"/>
      <c r="AO16" s="99" t="s">
        <v>145</v>
      </c>
      <c r="AP16" s="100" t="s">
        <v>154</v>
      </c>
      <c r="AQ16" s="100" t="s">
        <v>144</v>
      </c>
      <c r="AR16" s="100" t="s">
        <v>155</v>
      </c>
      <c r="AS16" s="100" t="s">
        <v>146</v>
      </c>
      <c r="AT16" s="100" t="s">
        <v>153</v>
      </c>
      <c r="AU16" s="100" t="s">
        <v>143</v>
      </c>
      <c r="AV16" s="101" t="s">
        <v>157</v>
      </c>
    </row>
    <row r="17" spans="1:48" ht="15" thickBot="1" x14ac:dyDescent="0.35">
      <c r="A17" s="50"/>
      <c r="B17" s="51"/>
      <c r="D17" s="119"/>
      <c r="E17" s="115" t="s">
        <v>16</v>
      </c>
      <c r="F17" s="23"/>
      <c r="G17" s="23"/>
      <c r="H17" s="24" t="e">
        <f t="shared" si="0"/>
        <v>#DIV/0!</v>
      </c>
      <c r="I17" s="33"/>
      <c r="J17" s="21">
        <f t="shared" si="1"/>
        <v>0</v>
      </c>
      <c r="K17" s="24" t="e">
        <f t="shared" si="2"/>
        <v>#DIV/0!</v>
      </c>
      <c r="L17" s="70" t="e">
        <f t="shared" si="3"/>
        <v>#DIV/0!</v>
      </c>
      <c r="M17" s="75" t="e">
        <f t="shared" si="4"/>
        <v>#DIV/0!</v>
      </c>
      <c r="N17" s="1"/>
      <c r="O17" s="28"/>
      <c r="P17" s="19" t="s">
        <v>39</v>
      </c>
      <c r="Q17" s="31">
        <f t="shared" si="5"/>
        <v>-2</v>
      </c>
      <c r="R17" s="38"/>
      <c r="AO17" s="102">
        <f>SUM(Мастерская!J87:J88)</f>
        <v>0</v>
      </c>
      <c r="AP17" s="103">
        <f>SUM(Мастерская!J89:J90)</f>
        <v>0</v>
      </c>
      <c r="AQ17" s="103">
        <f>Мастерская!J91</f>
        <v>0</v>
      </c>
      <c r="AR17" s="103">
        <f>Мастерская!J92</f>
        <v>0</v>
      </c>
      <c r="AS17" s="103">
        <f>Мастерская!J93</f>
        <v>0</v>
      </c>
      <c r="AT17" s="103">
        <f>Мастерская!J94</f>
        <v>0</v>
      </c>
      <c r="AU17" s="103">
        <f>Мастерская!J95</f>
        <v>0</v>
      </c>
      <c r="AV17" s="104">
        <f>Мастерская!J96</f>
        <v>0</v>
      </c>
    </row>
    <row r="18" spans="1:48" ht="15" thickTop="1" x14ac:dyDescent="0.3">
      <c r="A18" s="50"/>
      <c r="B18" s="51"/>
      <c r="D18" s="119"/>
      <c r="E18" s="115" t="s">
        <v>16</v>
      </c>
      <c r="F18" s="23"/>
      <c r="G18" s="23"/>
      <c r="H18" s="24" t="e">
        <f t="shared" si="0"/>
        <v>#DIV/0!</v>
      </c>
      <c r="I18" s="33"/>
      <c r="J18" s="21">
        <f t="shared" si="1"/>
        <v>0</v>
      </c>
      <c r="K18" s="24" t="e">
        <f t="shared" si="2"/>
        <v>#DIV/0!</v>
      </c>
      <c r="L18" s="70" t="e">
        <f t="shared" si="3"/>
        <v>#DIV/0!</v>
      </c>
      <c r="M18" s="75" t="e">
        <f t="shared" si="4"/>
        <v>#DIV/0!</v>
      </c>
      <c r="N18" s="1"/>
      <c r="O18" s="28"/>
      <c r="P18" s="19" t="s">
        <v>39</v>
      </c>
      <c r="Q18" s="30">
        <f t="shared" si="5"/>
        <v>-2</v>
      </c>
      <c r="R18" s="38"/>
      <c r="AO18" s="99" t="s">
        <v>156</v>
      </c>
      <c r="AP18" s="100" t="s">
        <v>159</v>
      </c>
      <c r="AQ18" s="100" t="s">
        <v>158</v>
      </c>
      <c r="AR18" s="100" t="s">
        <v>161</v>
      </c>
      <c r="AS18" s="100" t="s">
        <v>162</v>
      </c>
      <c r="AT18" s="100" t="s">
        <v>160</v>
      </c>
      <c r="AU18" s="100" t="s">
        <v>163</v>
      </c>
      <c r="AV18" s="101" t="s">
        <v>164</v>
      </c>
    </row>
    <row r="19" spans="1:48" ht="15" thickBot="1" x14ac:dyDescent="0.35">
      <c r="A19" s="50"/>
      <c r="B19" s="51"/>
      <c r="D19" s="119"/>
      <c r="E19" s="115" t="s">
        <v>16</v>
      </c>
      <c r="F19" s="23"/>
      <c r="G19" s="23"/>
      <c r="H19" s="24" t="e">
        <f t="shared" si="0"/>
        <v>#DIV/0!</v>
      </c>
      <c r="I19" s="33"/>
      <c r="J19" s="21">
        <f t="shared" si="1"/>
        <v>0</v>
      </c>
      <c r="K19" s="24" t="e">
        <f t="shared" si="2"/>
        <v>#DIV/0!</v>
      </c>
      <c r="L19" s="70" t="e">
        <f t="shared" si="3"/>
        <v>#DIV/0!</v>
      </c>
      <c r="M19" s="75" t="e">
        <f t="shared" si="4"/>
        <v>#DIV/0!</v>
      </c>
      <c r="N19" s="1"/>
      <c r="O19" s="28"/>
      <c r="P19" s="19" t="s">
        <v>39</v>
      </c>
      <c r="Q19" s="31">
        <f t="shared" si="5"/>
        <v>-2</v>
      </c>
      <c r="R19" s="38"/>
      <c r="AO19" s="105">
        <f>Мастерская!J97</f>
        <v>0</v>
      </c>
      <c r="AP19" s="106">
        <f>Мастерская!J98</f>
        <v>0</v>
      </c>
      <c r="AQ19" s="106">
        <f>Мастерская!J99</f>
        <v>0</v>
      </c>
      <c r="AR19" s="106">
        <f>Мастерская!J100</f>
        <v>0</v>
      </c>
      <c r="AS19" s="106">
        <f>Мастерская!J101</f>
        <v>0</v>
      </c>
      <c r="AT19" s="106">
        <f>Мастерская!J102</f>
        <v>0</v>
      </c>
      <c r="AU19" s="106">
        <f>Мастерская!J103</f>
        <v>0</v>
      </c>
      <c r="AV19" s="107">
        <f>Мастерская!J104</f>
        <v>0</v>
      </c>
    </row>
    <row r="20" spans="1:48" ht="15" thickBot="1" x14ac:dyDescent="0.35">
      <c r="A20" s="50"/>
      <c r="B20" s="51"/>
      <c r="D20" s="119"/>
      <c r="E20" s="115" t="s">
        <v>16</v>
      </c>
      <c r="F20" s="23"/>
      <c r="G20" s="23"/>
      <c r="H20" s="24" t="e">
        <f t="shared" si="0"/>
        <v>#DIV/0!</v>
      </c>
      <c r="I20" s="33"/>
      <c r="J20" s="21">
        <f t="shared" si="1"/>
        <v>0</v>
      </c>
      <c r="K20" s="24" t="e">
        <f t="shared" si="2"/>
        <v>#DIV/0!</v>
      </c>
      <c r="L20" s="70" t="e">
        <f t="shared" si="3"/>
        <v>#DIV/0!</v>
      </c>
      <c r="M20" s="75" t="e">
        <f t="shared" si="4"/>
        <v>#DIV/0!</v>
      </c>
      <c r="N20" s="1"/>
      <c r="O20" s="28"/>
      <c r="P20" s="19" t="s">
        <v>39</v>
      </c>
      <c r="Q20" s="30">
        <f t="shared" si="5"/>
        <v>-2</v>
      </c>
      <c r="R20" s="38"/>
    </row>
    <row r="21" spans="1:48" ht="15.6" thickTop="1" thickBot="1" x14ac:dyDescent="0.35">
      <c r="A21" s="50"/>
      <c r="B21" s="51"/>
      <c r="D21" s="119"/>
      <c r="E21" s="115" t="s">
        <v>16</v>
      </c>
      <c r="F21" s="23"/>
      <c r="G21" s="23"/>
      <c r="H21" s="24" t="e">
        <f t="shared" si="0"/>
        <v>#DIV/0!</v>
      </c>
      <c r="I21" s="33"/>
      <c r="J21" s="21">
        <f t="shared" si="1"/>
        <v>0</v>
      </c>
      <c r="K21" s="24" t="e">
        <f t="shared" si="2"/>
        <v>#DIV/0!</v>
      </c>
      <c r="L21" s="70" t="e">
        <f t="shared" si="3"/>
        <v>#DIV/0!</v>
      </c>
      <c r="M21" s="75" t="e">
        <f t="shared" si="4"/>
        <v>#DIV/0!</v>
      </c>
      <c r="N21" s="1"/>
      <c r="O21" s="28"/>
      <c r="P21" s="19" t="s">
        <v>39</v>
      </c>
      <c r="Q21" s="31">
        <f t="shared" si="5"/>
        <v>-2</v>
      </c>
      <c r="R21" s="38"/>
      <c r="AO21" s="170" t="s">
        <v>202</v>
      </c>
      <c r="AP21" s="171"/>
      <c r="AQ21" s="171"/>
      <c r="AR21" s="171"/>
      <c r="AS21" s="172"/>
    </row>
    <row r="22" spans="1:48" ht="16.5" customHeight="1" thickTop="1" x14ac:dyDescent="0.3">
      <c r="A22" s="50"/>
      <c r="B22" s="51"/>
      <c r="D22" s="119"/>
      <c r="E22" s="115" t="s">
        <v>16</v>
      </c>
      <c r="F22" s="23"/>
      <c r="G22" s="23"/>
      <c r="H22" s="24" t="e">
        <f t="shared" si="0"/>
        <v>#DIV/0!</v>
      </c>
      <c r="I22" s="33"/>
      <c r="J22" s="21">
        <f t="shared" si="1"/>
        <v>0</v>
      </c>
      <c r="K22" s="24" t="e">
        <f t="shared" si="2"/>
        <v>#DIV/0!</v>
      </c>
      <c r="L22" s="70" t="e">
        <f t="shared" si="3"/>
        <v>#DIV/0!</v>
      </c>
      <c r="M22" s="75" t="e">
        <f t="shared" si="4"/>
        <v>#DIV/0!</v>
      </c>
      <c r="N22" s="1"/>
      <c r="O22" s="28"/>
      <c r="P22" s="19" t="s">
        <v>39</v>
      </c>
      <c r="Q22" s="30">
        <f t="shared" si="5"/>
        <v>-2</v>
      </c>
      <c r="R22" s="38"/>
      <c r="T22" s="42"/>
      <c r="U22" s="42"/>
      <c r="V22" s="42"/>
      <c r="W22" s="42"/>
      <c r="X22" s="42"/>
      <c r="Y22" s="42"/>
      <c r="Z22" s="42"/>
      <c r="AA22" s="42"/>
      <c r="AB22" s="42"/>
      <c r="AO22" s="113" t="s">
        <v>180</v>
      </c>
      <c r="AP22" s="96" t="s">
        <v>181</v>
      </c>
      <c r="AQ22" s="96" t="s">
        <v>182</v>
      </c>
      <c r="AR22" s="112" t="s">
        <v>183</v>
      </c>
      <c r="AS22" s="91" t="s">
        <v>184</v>
      </c>
    </row>
    <row r="23" spans="1:48" ht="15.75" customHeight="1" thickBot="1" x14ac:dyDescent="0.35">
      <c r="A23" s="50"/>
      <c r="B23" s="51"/>
      <c r="D23" s="119"/>
      <c r="E23" s="115" t="s">
        <v>16</v>
      </c>
      <c r="F23" s="23"/>
      <c r="G23" s="23"/>
      <c r="H23" s="24" t="e">
        <f t="shared" si="0"/>
        <v>#DIV/0!</v>
      </c>
      <c r="I23" s="33"/>
      <c r="J23" s="21">
        <f t="shared" si="1"/>
        <v>0</v>
      </c>
      <c r="K23" s="24" t="e">
        <f t="shared" si="2"/>
        <v>#DIV/0!</v>
      </c>
      <c r="L23" s="70" t="e">
        <f t="shared" si="3"/>
        <v>#DIV/0!</v>
      </c>
      <c r="M23" s="75" t="e">
        <f t="shared" si="4"/>
        <v>#DIV/0!</v>
      </c>
      <c r="N23" s="1"/>
      <c r="O23" s="28"/>
      <c r="P23" s="19" t="s">
        <v>39</v>
      </c>
      <c r="Q23" s="31">
        <f t="shared" si="5"/>
        <v>-2</v>
      </c>
      <c r="R23" s="38"/>
      <c r="T23" s="42"/>
      <c r="U23" s="42"/>
      <c r="V23" s="42"/>
      <c r="W23" s="42"/>
      <c r="X23" s="42"/>
      <c r="Y23" s="42"/>
      <c r="Z23" s="42"/>
      <c r="AA23" s="42"/>
      <c r="AO23" s="93">
        <f>COUNTIF(D2:D1048576, "Победитель")</f>
        <v>0</v>
      </c>
      <c r="AP23" s="95">
        <f>COUNTIF(D2:D1048576, "Ничья")</f>
        <v>0</v>
      </c>
      <c r="AQ23" s="95">
        <f>COUNTIF(D2:D1048576, "Двойной шанс")</f>
        <v>0</v>
      </c>
      <c r="AR23" s="95">
        <f>COUNTIF(D2:D1048576, "Победитель (при ничьей - возврат)")</f>
        <v>0</v>
      </c>
      <c r="AS23" s="97">
        <f>COUNTIF(D2:D1048576, "Фора")</f>
        <v>0</v>
      </c>
    </row>
    <row r="24" spans="1:48" ht="15" customHeight="1" thickTop="1" thickBot="1" x14ac:dyDescent="0.35">
      <c r="A24" s="50"/>
      <c r="B24" s="51"/>
      <c r="D24" s="119"/>
      <c r="E24" s="115" t="s">
        <v>16</v>
      </c>
      <c r="F24" s="23"/>
      <c r="G24" s="23"/>
      <c r="H24" s="24" t="e">
        <f t="shared" si="0"/>
        <v>#DIV/0!</v>
      </c>
      <c r="I24" s="33"/>
      <c r="J24" s="21">
        <f t="shared" si="1"/>
        <v>0</v>
      </c>
      <c r="K24" s="24" t="e">
        <f t="shared" si="2"/>
        <v>#DIV/0!</v>
      </c>
      <c r="L24" s="70" t="e">
        <f t="shared" si="3"/>
        <v>#DIV/0!</v>
      </c>
      <c r="M24" s="75" t="e">
        <f t="shared" si="4"/>
        <v>#DIV/0!</v>
      </c>
      <c r="N24" s="1"/>
      <c r="O24" s="28"/>
      <c r="P24" s="19" t="s">
        <v>39</v>
      </c>
      <c r="Q24" s="30">
        <f t="shared" si="5"/>
        <v>-2</v>
      </c>
      <c r="R24" s="38"/>
      <c r="T24" s="42"/>
      <c r="U24" s="42"/>
      <c r="V24" s="42"/>
      <c r="W24" s="42"/>
      <c r="X24" s="42"/>
      <c r="Y24" s="42"/>
      <c r="Z24" s="42"/>
      <c r="AA24" s="42"/>
      <c r="AB24" s="42"/>
      <c r="AO24" s="92" t="s">
        <v>185</v>
      </c>
      <c r="AP24" s="94" t="s">
        <v>186</v>
      </c>
      <c r="AQ24" s="120" t="s">
        <v>187</v>
      </c>
      <c r="AR24" s="94" t="s">
        <v>189</v>
      </c>
      <c r="AS24" s="98" t="s">
        <v>190</v>
      </c>
    </row>
    <row r="25" spans="1:48" ht="15" customHeight="1" thickTop="1" thickBot="1" x14ac:dyDescent="0.35">
      <c r="A25" s="53"/>
      <c r="B25" s="54"/>
      <c r="D25" s="119"/>
      <c r="E25" s="115" t="s">
        <v>16</v>
      </c>
      <c r="F25" s="23"/>
      <c r="G25" s="23"/>
      <c r="H25" s="24" t="e">
        <f t="shared" si="0"/>
        <v>#DIV/0!</v>
      </c>
      <c r="I25" s="33"/>
      <c r="J25" s="21">
        <f t="shared" si="1"/>
        <v>0</v>
      </c>
      <c r="K25" s="24" t="e">
        <f t="shared" si="2"/>
        <v>#DIV/0!</v>
      </c>
      <c r="L25" s="70" t="e">
        <f t="shared" si="3"/>
        <v>#DIV/0!</v>
      </c>
      <c r="M25" s="75" t="e">
        <f t="shared" si="4"/>
        <v>#DIV/0!</v>
      </c>
      <c r="N25" s="1"/>
      <c r="O25" s="28"/>
      <c r="P25" s="19" t="s">
        <v>39</v>
      </c>
      <c r="Q25" s="31">
        <f t="shared" si="5"/>
        <v>-2</v>
      </c>
      <c r="R25" s="38"/>
      <c r="U25" s="59"/>
      <c r="W25" s="60"/>
      <c r="AL25" s="80" t="s">
        <v>242</v>
      </c>
      <c r="AM25" s="12" t="s">
        <v>243</v>
      </c>
      <c r="AO25" s="93">
        <f>COUNTIF(D2:D1048576, "Тотал")</f>
        <v>0</v>
      </c>
      <c r="AP25" s="95">
        <f>COUNTIF(D2:D1048576, "Точный счёт")</f>
        <v>0</v>
      </c>
      <c r="AQ25" s="95">
        <f>COUNTIF(D2:D1048576,"Точный счёт + исход ""Другой""")</f>
        <v>0</v>
      </c>
      <c r="AR25" s="95">
        <f>COUNTIF(D2:D1048576, "Кол-во голов")</f>
        <v>0</v>
      </c>
      <c r="AS25" s="97">
        <f>COUNTIF(D2:D1048576, "Инд. Тотал")</f>
        <v>0</v>
      </c>
    </row>
    <row r="26" spans="1:48" ht="15.75" customHeight="1" thickTop="1" thickBot="1" x14ac:dyDescent="0.35">
      <c r="A26" s="50"/>
      <c r="B26" s="51"/>
      <c r="D26" s="119"/>
      <c r="E26" s="115" t="s">
        <v>16</v>
      </c>
      <c r="F26" s="25"/>
      <c r="G26" s="25"/>
      <c r="H26" s="26" t="e">
        <f>(F26*100)/G26</f>
        <v>#DIV/0!</v>
      </c>
      <c r="I26" s="36"/>
      <c r="J26" s="21">
        <f t="shared" si="1"/>
        <v>0</v>
      </c>
      <c r="K26" s="26" t="e">
        <f t="shared" si="2"/>
        <v>#DIV/0!</v>
      </c>
      <c r="L26" s="72" t="e">
        <f t="shared" si="3"/>
        <v>#DIV/0!</v>
      </c>
      <c r="M26" s="77" t="e">
        <f t="shared" si="4"/>
        <v>#DIV/0!</v>
      </c>
      <c r="N26" s="4"/>
      <c r="O26" s="28"/>
      <c r="P26" s="19" t="s">
        <v>39</v>
      </c>
      <c r="Q26" s="30">
        <f t="shared" si="5"/>
        <v>-2</v>
      </c>
      <c r="R26" s="38"/>
      <c r="AL26" s="139">
        <f>SUM(A2:A71)</f>
        <v>0</v>
      </c>
      <c r="AM26" s="140">
        <f>SUM(B2:B71)</f>
        <v>0</v>
      </c>
      <c r="AO26" s="92" t="s">
        <v>191</v>
      </c>
      <c r="AP26" s="94" t="s">
        <v>192</v>
      </c>
      <c r="AQ26" s="94" t="s">
        <v>193</v>
      </c>
      <c r="AR26" s="94" t="s">
        <v>194</v>
      </c>
      <c r="AS26" s="98" t="s">
        <v>195</v>
      </c>
    </row>
    <row r="27" spans="1:48" ht="15.75" customHeight="1" thickTop="1" thickBot="1" x14ac:dyDescent="0.35">
      <c r="A27" s="50"/>
      <c r="B27" s="51"/>
      <c r="D27" s="119"/>
      <c r="E27" s="115" t="s">
        <v>16</v>
      </c>
      <c r="F27" s="23"/>
      <c r="G27" s="23"/>
      <c r="H27" s="24" t="e">
        <f t="shared" ref="H27:H71" si="6">(F27*100)/G27</f>
        <v>#DIV/0!</v>
      </c>
      <c r="I27" s="33"/>
      <c r="J27" s="21">
        <f t="shared" si="1"/>
        <v>0</v>
      </c>
      <c r="K27" s="24" t="e">
        <f t="shared" si="2"/>
        <v>#DIV/0!</v>
      </c>
      <c r="L27" s="70" t="e">
        <f t="shared" si="3"/>
        <v>#DIV/0!</v>
      </c>
      <c r="M27" s="75" t="e">
        <f t="shared" si="4"/>
        <v>#DIV/0!</v>
      </c>
      <c r="N27" s="1"/>
      <c r="O27" s="28"/>
      <c r="P27" s="19" t="s">
        <v>39</v>
      </c>
      <c r="Q27" s="31">
        <f t="shared" si="5"/>
        <v>-2</v>
      </c>
      <c r="R27" s="38"/>
      <c r="AL27" s="196" t="s">
        <v>244</v>
      </c>
      <c r="AM27" s="197"/>
      <c r="AO27" s="93">
        <f>COUNTIF(D2:D1048576, "Обе команды забьют")</f>
        <v>0</v>
      </c>
      <c r="AP27" s="95">
        <f>COUNTIF(D2:D1048576, "Сколько команд забьёт")</f>
        <v>0</v>
      </c>
      <c r="AQ27" s="95">
        <f>COUNTIF(D2:D1048576, "Кто забьёт 1-й гол")</f>
        <v>0</v>
      </c>
      <c r="AR27" s="95">
        <f>COUNTIF(D2:D1048576, "Кто забьёт последний гол")</f>
        <v>0</v>
      </c>
      <c r="AS27" s="97">
        <f>COUNTIF(D2:D1048576, "Наиболее результативный тайм")</f>
        <v>0</v>
      </c>
    </row>
    <row r="28" spans="1:48" ht="15.75" customHeight="1" thickTop="1" thickBot="1" x14ac:dyDescent="0.35">
      <c r="A28" s="50"/>
      <c r="B28" s="51"/>
      <c r="D28" s="119"/>
      <c r="E28" s="115" t="s">
        <v>16</v>
      </c>
      <c r="F28" s="23"/>
      <c r="G28" s="23"/>
      <c r="H28" s="24" t="e">
        <f t="shared" si="6"/>
        <v>#DIV/0!</v>
      </c>
      <c r="I28" s="33"/>
      <c r="J28" s="21">
        <f t="shared" si="1"/>
        <v>0</v>
      </c>
      <c r="K28" s="24" t="e">
        <f t="shared" si="2"/>
        <v>#DIV/0!</v>
      </c>
      <c r="L28" s="70" t="e">
        <f t="shared" si="3"/>
        <v>#DIV/0!</v>
      </c>
      <c r="M28" s="75" t="e">
        <f t="shared" si="4"/>
        <v>#DIV/0!</v>
      </c>
      <c r="N28" s="1"/>
      <c r="O28" s="28"/>
      <c r="P28" s="19" t="s">
        <v>39</v>
      </c>
      <c r="Q28" s="30">
        <f t="shared" si="5"/>
        <v>-2</v>
      </c>
      <c r="R28" s="38"/>
      <c r="AL28" s="198">
        <f>(AM26-AL26)</f>
        <v>0</v>
      </c>
      <c r="AM28" s="199"/>
      <c r="AO28" s="92" t="s">
        <v>196</v>
      </c>
      <c r="AP28" s="94" t="s">
        <v>197</v>
      </c>
      <c r="AQ28" s="94" t="s">
        <v>198</v>
      </c>
      <c r="AR28" s="94" t="s">
        <v>203</v>
      </c>
      <c r="AS28" s="98" t="s">
        <v>199</v>
      </c>
    </row>
    <row r="29" spans="1:48" ht="15.75" customHeight="1" thickBot="1" x14ac:dyDescent="0.35">
      <c r="A29" s="50"/>
      <c r="B29" s="51"/>
      <c r="D29" s="119"/>
      <c r="E29" s="115" t="s">
        <v>16</v>
      </c>
      <c r="F29" s="23"/>
      <c r="G29" s="23"/>
      <c r="H29" s="24" t="e">
        <f t="shared" si="6"/>
        <v>#DIV/0!</v>
      </c>
      <c r="I29" s="33"/>
      <c r="J29" s="21">
        <f t="shared" si="1"/>
        <v>0</v>
      </c>
      <c r="K29" s="24" t="e">
        <f t="shared" si="2"/>
        <v>#DIV/0!</v>
      </c>
      <c r="L29" s="70" t="e">
        <f t="shared" si="3"/>
        <v>#DIV/0!</v>
      </c>
      <c r="M29" s="75" t="e">
        <f t="shared" si="4"/>
        <v>#DIV/0!</v>
      </c>
      <c r="N29" s="1"/>
      <c r="O29" s="28"/>
      <c r="P29" s="19" t="s">
        <v>39</v>
      </c>
      <c r="Q29" s="31">
        <f t="shared" si="5"/>
        <v>-2</v>
      </c>
      <c r="R29" s="38"/>
      <c r="AO29" s="93">
        <f>COUNTIF(D2:D1048576, "Чет/нечет")</f>
        <v>0</v>
      </c>
      <c r="AP29" s="95">
        <f>COUNTIF(D2:D1048576, "Победитель + Разница мячей")</f>
        <v>0</v>
      </c>
      <c r="AQ29" s="95">
        <f>COUNTIF(D2:D1048576, "Победитель + Обе забьют")</f>
        <v>0</v>
      </c>
      <c r="AR29" s="95">
        <f>COUNTIF(D2:D1048576, "Победитель + Тотал")</f>
        <v>0</v>
      </c>
      <c r="AS29" s="97">
        <f>COUNTIF(D2:D1048576, "Автор гола")</f>
        <v>0</v>
      </c>
    </row>
    <row r="30" spans="1:48" ht="15.75" customHeight="1" thickTop="1" x14ac:dyDescent="0.3">
      <c r="A30" s="50"/>
      <c r="B30" s="51"/>
      <c r="D30" s="119"/>
      <c r="E30" s="115" t="s">
        <v>16</v>
      </c>
      <c r="F30" s="23"/>
      <c r="G30" s="23"/>
      <c r="H30" s="24" t="e">
        <f t="shared" si="6"/>
        <v>#DIV/0!</v>
      </c>
      <c r="I30" s="33"/>
      <c r="J30" s="21">
        <f t="shared" si="1"/>
        <v>0</v>
      </c>
      <c r="K30" s="24" t="e">
        <f t="shared" si="2"/>
        <v>#DIV/0!</v>
      </c>
      <c r="L30" s="70" t="e">
        <f t="shared" si="3"/>
        <v>#DIV/0!</v>
      </c>
      <c r="M30" s="75" t="e">
        <f t="shared" si="4"/>
        <v>#DIV/0!</v>
      </c>
      <c r="N30" s="1"/>
      <c r="O30" s="28"/>
      <c r="P30" s="19" t="s">
        <v>39</v>
      </c>
      <c r="Q30" s="30">
        <f t="shared" si="5"/>
        <v>-2</v>
      </c>
      <c r="R30" s="38"/>
      <c r="AO30" s="92" t="s">
        <v>200</v>
      </c>
      <c r="AP30" s="94" t="s">
        <v>201</v>
      </c>
      <c r="AQ30" s="94"/>
      <c r="AR30" s="94"/>
      <c r="AS30" s="98"/>
    </row>
    <row r="31" spans="1:48" ht="15.75" customHeight="1" thickBot="1" x14ac:dyDescent="0.35">
      <c r="A31" s="50"/>
      <c r="B31" s="54"/>
      <c r="D31" s="119"/>
      <c r="E31" s="115" t="s">
        <v>16</v>
      </c>
      <c r="F31" s="23"/>
      <c r="G31" s="23"/>
      <c r="H31" s="24" t="e">
        <f t="shared" si="6"/>
        <v>#DIV/0!</v>
      </c>
      <c r="I31" s="33"/>
      <c r="J31" s="21">
        <f t="shared" si="1"/>
        <v>0</v>
      </c>
      <c r="K31" s="24" t="e">
        <f t="shared" si="2"/>
        <v>#DIV/0!</v>
      </c>
      <c r="L31" s="70" t="e">
        <f t="shared" si="3"/>
        <v>#DIV/0!</v>
      </c>
      <c r="M31" s="75" t="e">
        <f t="shared" si="4"/>
        <v>#DIV/0!</v>
      </c>
      <c r="N31" s="1"/>
      <c r="O31" s="28"/>
      <c r="P31" s="19" t="s">
        <v>39</v>
      </c>
      <c r="Q31" s="31">
        <f t="shared" si="5"/>
        <v>-2</v>
      </c>
      <c r="R31" s="38"/>
      <c r="AO31" s="121">
        <f>COUNTIF(D2:D1048576, "Лучший бомбардир")</f>
        <v>0</v>
      </c>
      <c r="AP31" s="122">
        <f>COUNTIF(D2:D1048576, "Победитель турнира")</f>
        <v>0</v>
      </c>
      <c r="AQ31" s="122"/>
      <c r="AR31" s="122"/>
      <c r="AS31" s="123"/>
    </row>
    <row r="32" spans="1:48" ht="15.75" customHeight="1" x14ac:dyDescent="0.3">
      <c r="A32" s="55"/>
      <c r="B32" s="51"/>
      <c r="D32" s="119"/>
      <c r="E32" s="115" t="s">
        <v>16</v>
      </c>
      <c r="F32" s="23"/>
      <c r="G32" s="23"/>
      <c r="H32" s="24" t="e">
        <f t="shared" si="6"/>
        <v>#DIV/0!</v>
      </c>
      <c r="I32" s="33"/>
      <c r="J32" s="21">
        <f t="shared" si="1"/>
        <v>0</v>
      </c>
      <c r="K32" s="24" t="e">
        <f t="shared" si="2"/>
        <v>#DIV/0!</v>
      </c>
      <c r="L32" s="70" t="e">
        <f t="shared" si="3"/>
        <v>#DIV/0!</v>
      </c>
      <c r="M32" s="75" t="e">
        <f t="shared" si="4"/>
        <v>#DIV/0!</v>
      </c>
      <c r="N32" s="1"/>
      <c r="O32" s="28"/>
      <c r="P32" s="19" t="s">
        <v>39</v>
      </c>
      <c r="Q32" s="30">
        <f t="shared" si="5"/>
        <v>-2</v>
      </c>
      <c r="R32" s="38"/>
    </row>
    <row r="33" spans="1:18" ht="15" customHeight="1" x14ac:dyDescent="0.3">
      <c r="A33" s="50"/>
      <c r="B33" s="49"/>
      <c r="D33" s="119"/>
      <c r="E33" s="115" t="s">
        <v>16</v>
      </c>
      <c r="F33" s="23"/>
      <c r="G33" s="23"/>
      <c r="H33" s="24" t="e">
        <f t="shared" si="6"/>
        <v>#DIV/0!</v>
      </c>
      <c r="I33" s="33"/>
      <c r="J33" s="21">
        <f t="shared" si="1"/>
        <v>0</v>
      </c>
      <c r="K33" s="24" t="e">
        <f t="shared" si="2"/>
        <v>#DIV/0!</v>
      </c>
      <c r="L33" s="70" t="e">
        <f t="shared" si="3"/>
        <v>#DIV/0!</v>
      </c>
      <c r="M33" s="75" t="e">
        <f t="shared" si="4"/>
        <v>#DIV/0!</v>
      </c>
      <c r="N33" s="1"/>
      <c r="O33" s="28"/>
      <c r="P33" s="19" t="s">
        <v>39</v>
      </c>
      <c r="Q33" s="30">
        <f t="shared" si="5"/>
        <v>-2</v>
      </c>
      <c r="R33" s="38"/>
    </row>
    <row r="34" spans="1:18" ht="15" customHeight="1" x14ac:dyDescent="0.3">
      <c r="A34" s="50"/>
      <c r="B34" s="51"/>
      <c r="D34" s="119"/>
      <c r="E34" s="115" t="s">
        <v>16</v>
      </c>
      <c r="F34" s="23"/>
      <c r="G34" s="23"/>
      <c r="H34" s="24" t="e">
        <f t="shared" si="6"/>
        <v>#DIV/0!</v>
      </c>
      <c r="I34" s="33"/>
      <c r="J34" s="21">
        <f t="shared" si="1"/>
        <v>0</v>
      </c>
      <c r="K34" s="24" t="e">
        <f t="shared" si="2"/>
        <v>#DIV/0!</v>
      </c>
      <c r="L34" s="70" t="e">
        <f t="shared" si="3"/>
        <v>#DIV/0!</v>
      </c>
      <c r="M34" s="75" t="e">
        <f t="shared" si="4"/>
        <v>#DIV/0!</v>
      </c>
      <c r="N34" s="1"/>
      <c r="O34" s="28"/>
      <c r="P34" s="19" t="s">
        <v>39</v>
      </c>
      <c r="Q34" s="30">
        <f t="shared" si="5"/>
        <v>-2</v>
      </c>
      <c r="R34" s="38"/>
    </row>
    <row r="35" spans="1:18" ht="15" customHeight="1" x14ac:dyDescent="0.3">
      <c r="A35" s="50"/>
      <c r="B35" s="51"/>
      <c r="D35" s="119"/>
      <c r="E35" s="115" t="s">
        <v>16</v>
      </c>
      <c r="F35" s="23"/>
      <c r="G35" s="23"/>
      <c r="H35" s="24" t="e">
        <f t="shared" si="6"/>
        <v>#DIV/0!</v>
      </c>
      <c r="I35" s="33"/>
      <c r="J35" s="21">
        <f t="shared" si="1"/>
        <v>0</v>
      </c>
      <c r="K35" s="24" t="e">
        <f t="shared" si="2"/>
        <v>#DIV/0!</v>
      </c>
      <c r="L35" s="70" t="e">
        <f t="shared" si="3"/>
        <v>#DIV/0!</v>
      </c>
      <c r="M35" s="75" t="e">
        <f t="shared" si="4"/>
        <v>#DIV/0!</v>
      </c>
      <c r="N35" s="1"/>
      <c r="O35" s="28"/>
      <c r="P35" s="19" t="s">
        <v>39</v>
      </c>
      <c r="Q35" s="30">
        <f t="shared" si="5"/>
        <v>-2</v>
      </c>
      <c r="R35" s="38"/>
    </row>
    <row r="36" spans="1:18" ht="15" customHeight="1" x14ac:dyDescent="0.3">
      <c r="A36" s="50"/>
      <c r="B36" s="51"/>
      <c r="D36" s="119"/>
      <c r="E36" s="115" t="s">
        <v>16</v>
      </c>
      <c r="F36" s="23"/>
      <c r="G36" s="23"/>
      <c r="H36" s="24" t="e">
        <f t="shared" si="6"/>
        <v>#DIV/0!</v>
      </c>
      <c r="I36" s="33"/>
      <c r="J36" s="21">
        <f t="shared" si="1"/>
        <v>0</v>
      </c>
      <c r="K36" s="24" t="e">
        <f t="shared" si="2"/>
        <v>#DIV/0!</v>
      </c>
      <c r="L36" s="70" t="e">
        <f t="shared" si="3"/>
        <v>#DIV/0!</v>
      </c>
      <c r="M36" s="75" t="e">
        <f t="shared" si="4"/>
        <v>#DIV/0!</v>
      </c>
      <c r="N36" s="1"/>
      <c r="O36" s="28"/>
      <c r="P36" s="19" t="s">
        <v>39</v>
      </c>
      <c r="Q36" s="30">
        <f t="shared" si="5"/>
        <v>-2</v>
      </c>
      <c r="R36" s="38"/>
    </row>
    <row r="37" spans="1:18" ht="15" customHeight="1" x14ac:dyDescent="0.3">
      <c r="A37" s="50"/>
      <c r="B37" s="51"/>
      <c r="D37" s="119"/>
      <c r="E37" s="115" t="s">
        <v>16</v>
      </c>
      <c r="F37" s="23"/>
      <c r="G37" s="23"/>
      <c r="H37" s="24" t="e">
        <f t="shared" si="6"/>
        <v>#DIV/0!</v>
      </c>
      <c r="I37" s="33"/>
      <c r="J37" s="21">
        <f t="shared" si="1"/>
        <v>0</v>
      </c>
      <c r="K37" s="24" t="e">
        <f t="shared" si="2"/>
        <v>#DIV/0!</v>
      </c>
      <c r="L37" s="70" t="e">
        <f t="shared" si="3"/>
        <v>#DIV/0!</v>
      </c>
      <c r="M37" s="75" t="e">
        <f t="shared" si="4"/>
        <v>#DIV/0!</v>
      </c>
      <c r="N37" s="1"/>
      <c r="O37" s="28"/>
      <c r="P37" s="19" t="s">
        <v>39</v>
      </c>
      <c r="Q37" s="30">
        <f t="shared" si="5"/>
        <v>-2</v>
      </c>
      <c r="R37" s="38"/>
    </row>
    <row r="38" spans="1:18" ht="15" customHeight="1" x14ac:dyDescent="0.3">
      <c r="A38" s="50"/>
      <c r="B38" s="51"/>
      <c r="D38" s="119"/>
      <c r="E38" s="115" t="s">
        <v>16</v>
      </c>
      <c r="F38" s="23"/>
      <c r="G38" s="23"/>
      <c r="H38" s="24" t="e">
        <f t="shared" si="6"/>
        <v>#DIV/0!</v>
      </c>
      <c r="I38" s="33"/>
      <c r="J38" s="21">
        <f t="shared" si="1"/>
        <v>0</v>
      </c>
      <c r="K38" s="24" t="e">
        <f t="shared" si="2"/>
        <v>#DIV/0!</v>
      </c>
      <c r="L38" s="70" t="e">
        <f t="shared" si="3"/>
        <v>#DIV/0!</v>
      </c>
      <c r="M38" s="75" t="e">
        <f t="shared" si="4"/>
        <v>#DIV/0!</v>
      </c>
      <c r="N38" s="1"/>
      <c r="O38" s="28"/>
      <c r="P38" s="19" t="s">
        <v>39</v>
      </c>
      <c r="Q38" s="30">
        <f t="shared" si="5"/>
        <v>-2</v>
      </c>
      <c r="R38" s="38"/>
    </row>
    <row r="39" spans="1:18" ht="15" customHeight="1" x14ac:dyDescent="0.3">
      <c r="A39" s="50"/>
      <c r="B39" s="51"/>
      <c r="D39" s="119"/>
      <c r="E39" s="115" t="s">
        <v>16</v>
      </c>
      <c r="F39" s="23"/>
      <c r="G39" s="23"/>
      <c r="H39" s="24" t="e">
        <f t="shared" si="6"/>
        <v>#DIV/0!</v>
      </c>
      <c r="I39" s="33"/>
      <c r="J39" s="21">
        <f t="shared" si="1"/>
        <v>0</v>
      </c>
      <c r="K39" s="24" t="e">
        <f t="shared" si="2"/>
        <v>#DIV/0!</v>
      </c>
      <c r="L39" s="70" t="e">
        <f t="shared" si="3"/>
        <v>#DIV/0!</v>
      </c>
      <c r="M39" s="75" t="e">
        <f t="shared" si="4"/>
        <v>#DIV/0!</v>
      </c>
      <c r="N39" s="1"/>
      <c r="O39" s="28"/>
      <c r="P39" s="19" t="s">
        <v>39</v>
      </c>
      <c r="Q39" s="30">
        <f t="shared" si="5"/>
        <v>-2</v>
      </c>
      <c r="R39" s="38"/>
    </row>
    <row r="40" spans="1:18" ht="15" customHeight="1" x14ac:dyDescent="0.3">
      <c r="A40" s="50"/>
      <c r="B40" s="51"/>
      <c r="D40" s="119"/>
      <c r="E40" s="115" t="s">
        <v>16</v>
      </c>
      <c r="F40" s="23"/>
      <c r="G40" s="23"/>
      <c r="H40" s="24" t="e">
        <f t="shared" si="6"/>
        <v>#DIV/0!</v>
      </c>
      <c r="I40" s="33"/>
      <c r="J40" s="21">
        <f t="shared" si="1"/>
        <v>0</v>
      </c>
      <c r="K40" s="24" t="e">
        <f t="shared" si="2"/>
        <v>#DIV/0!</v>
      </c>
      <c r="L40" s="70" t="e">
        <f t="shared" si="3"/>
        <v>#DIV/0!</v>
      </c>
      <c r="M40" s="75" t="e">
        <f t="shared" si="4"/>
        <v>#DIV/0!</v>
      </c>
      <c r="N40" s="1"/>
      <c r="O40" s="28"/>
      <c r="P40" s="19" t="s">
        <v>39</v>
      </c>
      <c r="Q40" s="30">
        <f t="shared" si="5"/>
        <v>-2</v>
      </c>
      <c r="R40" s="38"/>
    </row>
    <row r="41" spans="1:18" ht="15" customHeight="1" x14ac:dyDescent="0.3">
      <c r="A41" s="50"/>
      <c r="B41" s="51"/>
      <c r="D41" s="119"/>
      <c r="E41" s="115" t="s">
        <v>16</v>
      </c>
      <c r="F41" s="23"/>
      <c r="G41" s="23"/>
      <c r="H41" s="24" t="e">
        <f t="shared" si="6"/>
        <v>#DIV/0!</v>
      </c>
      <c r="I41" s="33"/>
      <c r="J41" s="21">
        <f t="shared" si="1"/>
        <v>0</v>
      </c>
      <c r="K41" s="24" t="e">
        <f t="shared" si="2"/>
        <v>#DIV/0!</v>
      </c>
      <c r="L41" s="70" t="e">
        <f t="shared" si="3"/>
        <v>#DIV/0!</v>
      </c>
      <c r="M41" s="75" t="e">
        <f t="shared" si="4"/>
        <v>#DIV/0!</v>
      </c>
      <c r="N41" s="1"/>
      <c r="O41" s="28"/>
      <c r="P41" s="19" t="s">
        <v>39</v>
      </c>
      <c r="Q41" s="30">
        <f t="shared" si="5"/>
        <v>-2</v>
      </c>
      <c r="R41" s="38"/>
    </row>
    <row r="42" spans="1:18" ht="15" customHeight="1" x14ac:dyDescent="0.3">
      <c r="A42" s="50"/>
      <c r="B42" s="51"/>
      <c r="D42" s="119"/>
      <c r="E42" s="115" t="s">
        <v>16</v>
      </c>
      <c r="F42" s="23"/>
      <c r="G42" s="23"/>
      <c r="H42" s="24" t="e">
        <f t="shared" si="6"/>
        <v>#DIV/0!</v>
      </c>
      <c r="I42" s="33"/>
      <c r="J42" s="21">
        <f t="shared" si="1"/>
        <v>0</v>
      </c>
      <c r="K42" s="24" t="e">
        <f t="shared" si="2"/>
        <v>#DIV/0!</v>
      </c>
      <c r="L42" s="70" t="e">
        <f t="shared" si="3"/>
        <v>#DIV/0!</v>
      </c>
      <c r="M42" s="75" t="e">
        <f t="shared" si="4"/>
        <v>#DIV/0!</v>
      </c>
      <c r="N42" s="1"/>
      <c r="O42" s="28"/>
      <c r="P42" s="19" t="s">
        <v>39</v>
      </c>
      <c r="Q42" s="30">
        <f t="shared" si="5"/>
        <v>-2</v>
      </c>
      <c r="R42" s="38"/>
    </row>
    <row r="43" spans="1:18" ht="15" customHeight="1" x14ac:dyDescent="0.3">
      <c r="A43" s="50"/>
      <c r="B43" s="51"/>
      <c r="D43" s="119"/>
      <c r="E43" s="115" t="s">
        <v>16</v>
      </c>
      <c r="F43" s="23"/>
      <c r="G43" s="23"/>
      <c r="H43" s="24" t="e">
        <f t="shared" si="6"/>
        <v>#DIV/0!</v>
      </c>
      <c r="I43" s="33"/>
      <c r="J43" s="21">
        <f t="shared" si="1"/>
        <v>0</v>
      </c>
      <c r="K43" s="24" t="e">
        <f t="shared" si="2"/>
        <v>#DIV/0!</v>
      </c>
      <c r="L43" s="70" t="e">
        <f t="shared" si="3"/>
        <v>#DIV/0!</v>
      </c>
      <c r="M43" s="75" t="e">
        <f t="shared" si="4"/>
        <v>#DIV/0!</v>
      </c>
      <c r="N43" s="1"/>
      <c r="O43" s="28"/>
      <c r="P43" s="19" t="s">
        <v>39</v>
      </c>
      <c r="Q43" s="30">
        <f t="shared" si="5"/>
        <v>-2</v>
      </c>
      <c r="R43" s="38"/>
    </row>
    <row r="44" spans="1:18" ht="15" customHeight="1" x14ac:dyDescent="0.3">
      <c r="A44" s="50"/>
      <c r="B44" s="51"/>
      <c r="D44" s="119"/>
      <c r="E44" s="115" t="s">
        <v>16</v>
      </c>
      <c r="F44" s="23"/>
      <c r="G44" s="23"/>
      <c r="H44" s="24" t="e">
        <f t="shared" si="6"/>
        <v>#DIV/0!</v>
      </c>
      <c r="I44" s="33"/>
      <c r="J44" s="21">
        <f t="shared" si="1"/>
        <v>0</v>
      </c>
      <c r="K44" s="24" t="e">
        <f t="shared" si="2"/>
        <v>#DIV/0!</v>
      </c>
      <c r="L44" s="70" t="e">
        <f t="shared" si="3"/>
        <v>#DIV/0!</v>
      </c>
      <c r="M44" s="75" t="e">
        <f t="shared" si="4"/>
        <v>#DIV/0!</v>
      </c>
      <c r="N44" s="1"/>
      <c r="O44" s="28"/>
      <c r="P44" s="19" t="s">
        <v>39</v>
      </c>
      <c r="Q44" s="30">
        <f t="shared" si="5"/>
        <v>-2</v>
      </c>
      <c r="R44" s="38"/>
    </row>
    <row r="45" spans="1:18" x14ac:dyDescent="0.3">
      <c r="A45" s="50"/>
      <c r="B45" s="51"/>
      <c r="D45" s="119"/>
      <c r="E45" s="115" t="s">
        <v>16</v>
      </c>
      <c r="F45" s="23"/>
      <c r="G45" s="23"/>
      <c r="H45" s="24" t="e">
        <f t="shared" si="6"/>
        <v>#DIV/0!</v>
      </c>
      <c r="I45" s="33"/>
      <c r="J45" s="21">
        <f t="shared" si="1"/>
        <v>0</v>
      </c>
      <c r="K45" s="24" t="e">
        <f t="shared" si="2"/>
        <v>#DIV/0!</v>
      </c>
      <c r="L45" s="70" t="e">
        <f t="shared" si="3"/>
        <v>#DIV/0!</v>
      </c>
      <c r="M45" s="75" t="e">
        <f t="shared" si="4"/>
        <v>#DIV/0!</v>
      </c>
      <c r="N45" s="1"/>
      <c r="O45" s="28"/>
      <c r="P45" s="19" t="s">
        <v>39</v>
      </c>
      <c r="Q45" s="30">
        <f t="shared" si="5"/>
        <v>-2</v>
      </c>
      <c r="R45" s="38"/>
    </row>
    <row r="46" spans="1:18" x14ac:dyDescent="0.3">
      <c r="A46" s="50"/>
      <c r="B46" s="51"/>
      <c r="D46" s="119"/>
      <c r="E46" s="115" t="s">
        <v>16</v>
      </c>
      <c r="F46" s="23"/>
      <c r="G46" s="23"/>
      <c r="H46" s="24" t="e">
        <f t="shared" si="6"/>
        <v>#DIV/0!</v>
      </c>
      <c r="I46" s="33"/>
      <c r="J46" s="21">
        <f t="shared" si="1"/>
        <v>0</v>
      </c>
      <c r="K46" s="24" t="e">
        <f t="shared" si="2"/>
        <v>#DIV/0!</v>
      </c>
      <c r="L46" s="70" t="e">
        <f t="shared" si="3"/>
        <v>#DIV/0!</v>
      </c>
      <c r="M46" s="75" t="e">
        <f t="shared" si="4"/>
        <v>#DIV/0!</v>
      </c>
      <c r="N46" s="1"/>
      <c r="O46" s="28"/>
      <c r="P46" s="19" t="s">
        <v>39</v>
      </c>
      <c r="Q46" s="30">
        <f t="shared" si="5"/>
        <v>-2</v>
      </c>
      <c r="R46" s="38"/>
    </row>
    <row r="47" spans="1:18" x14ac:dyDescent="0.3">
      <c r="A47" s="50"/>
      <c r="B47" s="51"/>
      <c r="D47" s="119"/>
      <c r="E47" s="115" t="s">
        <v>16</v>
      </c>
      <c r="F47" s="23"/>
      <c r="G47" s="23"/>
      <c r="H47" s="24" t="e">
        <f t="shared" si="6"/>
        <v>#DIV/0!</v>
      </c>
      <c r="I47" s="33"/>
      <c r="J47" s="21">
        <f t="shared" si="1"/>
        <v>0</v>
      </c>
      <c r="K47" s="24" t="e">
        <f t="shared" si="2"/>
        <v>#DIV/0!</v>
      </c>
      <c r="L47" s="70" t="e">
        <f t="shared" si="3"/>
        <v>#DIV/0!</v>
      </c>
      <c r="M47" s="75" t="e">
        <f t="shared" si="4"/>
        <v>#DIV/0!</v>
      </c>
      <c r="N47" s="1"/>
      <c r="O47" s="28"/>
      <c r="P47" s="19" t="s">
        <v>39</v>
      </c>
      <c r="Q47" s="30">
        <f t="shared" si="5"/>
        <v>-2</v>
      </c>
      <c r="R47" s="38"/>
    </row>
    <row r="48" spans="1:18" x14ac:dyDescent="0.3">
      <c r="A48" s="50"/>
      <c r="B48" s="51"/>
      <c r="D48" s="119"/>
      <c r="E48" s="115" t="s">
        <v>16</v>
      </c>
      <c r="F48" s="23"/>
      <c r="G48" s="23"/>
      <c r="H48" s="24" t="e">
        <f t="shared" si="6"/>
        <v>#DIV/0!</v>
      </c>
      <c r="I48" s="33"/>
      <c r="J48" s="21">
        <f t="shared" si="1"/>
        <v>0</v>
      </c>
      <c r="K48" s="24" t="e">
        <f t="shared" si="2"/>
        <v>#DIV/0!</v>
      </c>
      <c r="L48" s="70" t="e">
        <f t="shared" si="3"/>
        <v>#DIV/0!</v>
      </c>
      <c r="M48" s="75" t="e">
        <f t="shared" si="4"/>
        <v>#DIV/0!</v>
      </c>
      <c r="N48" s="1"/>
      <c r="O48" s="28"/>
      <c r="P48" s="19" t="s">
        <v>39</v>
      </c>
      <c r="Q48" s="30">
        <f t="shared" si="5"/>
        <v>-2</v>
      </c>
      <c r="R48" s="38"/>
    </row>
    <row r="49" spans="1:18" x14ac:dyDescent="0.3">
      <c r="A49" s="53"/>
      <c r="B49" s="54"/>
      <c r="D49" s="119"/>
      <c r="E49" s="115" t="s">
        <v>16</v>
      </c>
      <c r="F49" s="23"/>
      <c r="G49" s="23"/>
      <c r="H49" s="24" t="e">
        <f t="shared" si="6"/>
        <v>#DIV/0!</v>
      </c>
      <c r="I49" s="33"/>
      <c r="J49" s="21">
        <f t="shared" si="1"/>
        <v>0</v>
      </c>
      <c r="K49" s="24" t="e">
        <f t="shared" si="2"/>
        <v>#DIV/0!</v>
      </c>
      <c r="L49" s="70" t="e">
        <f t="shared" si="3"/>
        <v>#DIV/0!</v>
      </c>
      <c r="M49" s="75" t="e">
        <f t="shared" si="4"/>
        <v>#DIV/0!</v>
      </c>
      <c r="N49" s="1"/>
      <c r="O49" s="28"/>
      <c r="P49" s="19" t="s">
        <v>39</v>
      </c>
      <c r="Q49" s="30">
        <f t="shared" si="5"/>
        <v>-2</v>
      </c>
      <c r="R49" s="38"/>
    </row>
    <row r="50" spans="1:18" x14ac:dyDescent="0.3">
      <c r="A50" s="50"/>
      <c r="B50" s="51"/>
      <c r="D50" s="119"/>
      <c r="E50" s="115" t="s">
        <v>16</v>
      </c>
      <c r="F50" s="23"/>
      <c r="G50" s="23"/>
      <c r="H50" s="24" t="e">
        <f t="shared" si="6"/>
        <v>#DIV/0!</v>
      </c>
      <c r="I50" s="33"/>
      <c r="J50" s="21">
        <f t="shared" si="1"/>
        <v>0</v>
      </c>
      <c r="K50" s="24" t="e">
        <f t="shared" si="2"/>
        <v>#DIV/0!</v>
      </c>
      <c r="L50" s="70" t="e">
        <f t="shared" si="3"/>
        <v>#DIV/0!</v>
      </c>
      <c r="M50" s="75" t="e">
        <f t="shared" si="4"/>
        <v>#DIV/0!</v>
      </c>
      <c r="N50" s="1"/>
      <c r="O50" s="28"/>
      <c r="P50" s="19" t="s">
        <v>39</v>
      </c>
      <c r="Q50" s="30">
        <f t="shared" si="5"/>
        <v>-2</v>
      </c>
      <c r="R50" s="38"/>
    </row>
    <row r="51" spans="1:18" x14ac:dyDescent="0.3">
      <c r="A51" s="48"/>
      <c r="B51" s="49"/>
      <c r="D51" s="119"/>
      <c r="E51" s="115" t="s">
        <v>16</v>
      </c>
      <c r="F51" s="23"/>
      <c r="G51" s="23"/>
      <c r="H51" s="24" t="e">
        <f t="shared" si="6"/>
        <v>#DIV/0!</v>
      </c>
      <c r="I51" s="33"/>
      <c r="J51" s="21">
        <f t="shared" si="1"/>
        <v>0</v>
      </c>
      <c r="K51" s="24" t="e">
        <f t="shared" si="2"/>
        <v>#DIV/0!</v>
      </c>
      <c r="L51" s="70" t="e">
        <f t="shared" si="3"/>
        <v>#DIV/0!</v>
      </c>
      <c r="M51" s="75" t="e">
        <f t="shared" si="4"/>
        <v>#DIV/0!</v>
      </c>
      <c r="N51" s="1"/>
      <c r="O51" s="28"/>
      <c r="P51" s="19" t="s">
        <v>39</v>
      </c>
      <c r="Q51" s="30">
        <f t="shared" si="5"/>
        <v>-2</v>
      </c>
      <c r="R51" s="38"/>
    </row>
    <row r="52" spans="1:18" x14ac:dyDescent="0.3">
      <c r="A52" s="64"/>
      <c r="B52" s="65"/>
      <c r="D52" s="119"/>
      <c r="E52" s="115" t="s">
        <v>16</v>
      </c>
      <c r="F52" s="23"/>
      <c r="G52" s="23"/>
      <c r="H52" s="24" t="e">
        <f t="shared" si="6"/>
        <v>#DIV/0!</v>
      </c>
      <c r="I52" s="33"/>
      <c r="J52" s="21">
        <f t="shared" si="1"/>
        <v>0</v>
      </c>
      <c r="K52" s="24" t="e">
        <f t="shared" si="2"/>
        <v>#DIV/0!</v>
      </c>
      <c r="L52" s="70" t="e">
        <f t="shared" si="3"/>
        <v>#DIV/0!</v>
      </c>
      <c r="M52" s="75" t="e">
        <f t="shared" si="4"/>
        <v>#DIV/0!</v>
      </c>
      <c r="N52" s="1"/>
      <c r="O52" s="28"/>
      <c r="P52" s="19" t="s">
        <v>39</v>
      </c>
      <c r="Q52" s="30">
        <f t="shared" si="5"/>
        <v>-2</v>
      </c>
      <c r="R52" s="38"/>
    </row>
    <row r="53" spans="1:18" x14ac:dyDescent="0.3">
      <c r="A53" s="64"/>
      <c r="B53" s="65"/>
      <c r="D53" s="119"/>
      <c r="E53" s="115" t="s">
        <v>16</v>
      </c>
      <c r="F53" s="23"/>
      <c r="G53" s="23"/>
      <c r="H53" s="24" t="e">
        <f t="shared" si="6"/>
        <v>#DIV/0!</v>
      </c>
      <c r="I53" s="33"/>
      <c r="J53" s="21">
        <f t="shared" si="1"/>
        <v>0</v>
      </c>
      <c r="K53" s="24" t="e">
        <f t="shared" si="2"/>
        <v>#DIV/0!</v>
      </c>
      <c r="L53" s="70" t="e">
        <f t="shared" si="3"/>
        <v>#DIV/0!</v>
      </c>
      <c r="M53" s="75" t="e">
        <f t="shared" si="4"/>
        <v>#DIV/0!</v>
      </c>
      <c r="N53" s="1"/>
      <c r="O53" s="28"/>
      <c r="P53" s="19" t="s">
        <v>39</v>
      </c>
      <c r="Q53" s="30">
        <f t="shared" si="5"/>
        <v>-2</v>
      </c>
      <c r="R53" s="38"/>
    </row>
    <row r="54" spans="1:18" x14ac:dyDescent="0.3">
      <c r="A54" s="64"/>
      <c r="B54" s="65"/>
      <c r="D54" s="119"/>
      <c r="E54" s="115" t="s">
        <v>16</v>
      </c>
      <c r="F54" s="23"/>
      <c r="G54" s="23"/>
      <c r="H54" s="24" t="e">
        <f t="shared" si="6"/>
        <v>#DIV/0!</v>
      </c>
      <c r="I54" s="33"/>
      <c r="J54" s="21">
        <f t="shared" si="1"/>
        <v>0</v>
      </c>
      <c r="K54" s="24" t="e">
        <f t="shared" si="2"/>
        <v>#DIV/0!</v>
      </c>
      <c r="L54" s="70" t="e">
        <f t="shared" si="3"/>
        <v>#DIV/0!</v>
      </c>
      <c r="M54" s="75" t="e">
        <f t="shared" si="4"/>
        <v>#DIV/0!</v>
      </c>
      <c r="N54" s="1"/>
      <c r="O54" s="28"/>
      <c r="P54" s="19" t="s">
        <v>39</v>
      </c>
      <c r="Q54" s="30">
        <f t="shared" si="5"/>
        <v>-2</v>
      </c>
      <c r="R54" s="38"/>
    </row>
    <row r="55" spans="1:18" x14ac:dyDescent="0.3">
      <c r="A55" s="64"/>
      <c r="B55" s="65"/>
      <c r="D55" s="119"/>
      <c r="E55" s="115" t="s">
        <v>16</v>
      </c>
      <c r="F55" s="23"/>
      <c r="G55" s="23"/>
      <c r="H55" s="24" t="e">
        <f t="shared" si="6"/>
        <v>#DIV/0!</v>
      </c>
      <c r="I55" s="33"/>
      <c r="J55" s="21">
        <f t="shared" si="1"/>
        <v>0</v>
      </c>
      <c r="K55" s="24" t="e">
        <f t="shared" si="2"/>
        <v>#DIV/0!</v>
      </c>
      <c r="L55" s="70" t="e">
        <f t="shared" si="3"/>
        <v>#DIV/0!</v>
      </c>
      <c r="M55" s="75" t="e">
        <f t="shared" si="4"/>
        <v>#DIV/0!</v>
      </c>
      <c r="N55" s="1"/>
      <c r="O55" s="28"/>
      <c r="P55" s="19" t="s">
        <v>39</v>
      </c>
      <c r="Q55" s="30">
        <f t="shared" si="5"/>
        <v>-2</v>
      </c>
      <c r="R55" s="38"/>
    </row>
    <row r="56" spans="1:18" x14ac:dyDescent="0.3">
      <c r="A56" s="64"/>
      <c r="B56" s="65"/>
      <c r="D56" s="119"/>
      <c r="E56" s="115" t="s">
        <v>16</v>
      </c>
      <c r="F56" s="23"/>
      <c r="G56" s="23"/>
      <c r="H56" s="24" t="e">
        <f t="shared" si="6"/>
        <v>#DIV/0!</v>
      </c>
      <c r="I56" s="33"/>
      <c r="J56" s="21">
        <f t="shared" si="1"/>
        <v>0</v>
      </c>
      <c r="K56" s="24" t="e">
        <f t="shared" si="2"/>
        <v>#DIV/0!</v>
      </c>
      <c r="L56" s="70" t="e">
        <f t="shared" si="3"/>
        <v>#DIV/0!</v>
      </c>
      <c r="M56" s="75" t="e">
        <f t="shared" si="4"/>
        <v>#DIV/0!</v>
      </c>
      <c r="N56" s="1"/>
      <c r="O56" s="28"/>
      <c r="P56" s="19" t="s">
        <v>39</v>
      </c>
      <c r="Q56" s="30">
        <f t="shared" si="5"/>
        <v>-2</v>
      </c>
      <c r="R56" s="38"/>
    </row>
    <row r="57" spans="1:18" x14ac:dyDescent="0.3">
      <c r="A57" s="64"/>
      <c r="B57" s="65"/>
      <c r="D57" s="119"/>
      <c r="E57" s="115" t="s">
        <v>16</v>
      </c>
      <c r="F57" s="23"/>
      <c r="G57" s="23"/>
      <c r="H57" s="24" t="e">
        <f t="shared" si="6"/>
        <v>#DIV/0!</v>
      </c>
      <c r="I57" s="33"/>
      <c r="J57" s="21">
        <f t="shared" si="1"/>
        <v>0</v>
      </c>
      <c r="K57" s="24" t="e">
        <f t="shared" si="2"/>
        <v>#DIV/0!</v>
      </c>
      <c r="L57" s="70" t="e">
        <f t="shared" si="3"/>
        <v>#DIV/0!</v>
      </c>
      <c r="M57" s="75" t="e">
        <f t="shared" si="4"/>
        <v>#DIV/0!</v>
      </c>
      <c r="N57" s="1"/>
      <c r="O57" s="28"/>
      <c r="P57" s="19" t="s">
        <v>39</v>
      </c>
      <c r="Q57" s="30">
        <f t="shared" si="5"/>
        <v>-2</v>
      </c>
      <c r="R57" s="38"/>
    </row>
    <row r="58" spans="1:18" x14ac:dyDescent="0.3">
      <c r="A58" s="64"/>
      <c r="B58" s="65"/>
      <c r="D58" s="119"/>
      <c r="E58" s="115" t="s">
        <v>16</v>
      </c>
      <c r="F58" s="23"/>
      <c r="G58" s="23"/>
      <c r="H58" s="24" t="e">
        <f t="shared" si="6"/>
        <v>#DIV/0!</v>
      </c>
      <c r="I58" s="33"/>
      <c r="J58" s="21">
        <f t="shared" si="1"/>
        <v>0</v>
      </c>
      <c r="K58" s="24" t="e">
        <f t="shared" si="2"/>
        <v>#DIV/0!</v>
      </c>
      <c r="L58" s="70" t="e">
        <f t="shared" si="3"/>
        <v>#DIV/0!</v>
      </c>
      <c r="M58" s="75" t="e">
        <f t="shared" si="4"/>
        <v>#DIV/0!</v>
      </c>
      <c r="N58" s="1"/>
      <c r="O58" s="28"/>
      <c r="P58" s="19" t="s">
        <v>39</v>
      </c>
      <c r="Q58" s="30">
        <f t="shared" si="5"/>
        <v>-2</v>
      </c>
      <c r="R58" s="38"/>
    </row>
    <row r="59" spans="1:18" x14ac:dyDescent="0.3">
      <c r="A59" s="64"/>
      <c r="B59" s="65"/>
      <c r="D59" s="119"/>
      <c r="E59" s="115" t="s">
        <v>16</v>
      </c>
      <c r="F59" s="23"/>
      <c r="G59" s="23"/>
      <c r="H59" s="24" t="e">
        <f t="shared" si="6"/>
        <v>#DIV/0!</v>
      </c>
      <c r="I59" s="33"/>
      <c r="J59" s="21">
        <f t="shared" si="1"/>
        <v>0</v>
      </c>
      <c r="K59" s="24" t="e">
        <f t="shared" si="2"/>
        <v>#DIV/0!</v>
      </c>
      <c r="L59" s="70" t="e">
        <f t="shared" si="3"/>
        <v>#DIV/0!</v>
      </c>
      <c r="M59" s="75" t="e">
        <f t="shared" si="4"/>
        <v>#DIV/0!</v>
      </c>
      <c r="N59" s="1"/>
      <c r="O59" s="28"/>
      <c r="P59" s="19" t="s">
        <v>39</v>
      </c>
      <c r="Q59" s="30">
        <f t="shared" si="5"/>
        <v>-2</v>
      </c>
      <c r="R59" s="38"/>
    </row>
    <row r="60" spans="1:18" x14ac:dyDescent="0.3">
      <c r="A60" s="64"/>
      <c r="B60" s="65"/>
      <c r="D60" s="119"/>
      <c r="E60" s="115" t="s">
        <v>16</v>
      </c>
      <c r="F60" s="23"/>
      <c r="G60" s="23"/>
      <c r="H60" s="24" t="e">
        <f t="shared" si="6"/>
        <v>#DIV/0!</v>
      </c>
      <c r="I60" s="33"/>
      <c r="J60" s="21">
        <f t="shared" si="1"/>
        <v>0</v>
      </c>
      <c r="K60" s="24" t="e">
        <f t="shared" si="2"/>
        <v>#DIV/0!</v>
      </c>
      <c r="L60" s="70" t="e">
        <f t="shared" si="3"/>
        <v>#DIV/0!</v>
      </c>
      <c r="M60" s="75" t="e">
        <f t="shared" si="4"/>
        <v>#DIV/0!</v>
      </c>
      <c r="N60" s="1"/>
      <c r="O60" s="28"/>
      <c r="P60" s="19" t="s">
        <v>39</v>
      </c>
      <c r="Q60" s="30">
        <f t="shared" si="5"/>
        <v>-2</v>
      </c>
      <c r="R60" s="38"/>
    </row>
    <row r="61" spans="1:18" x14ac:dyDescent="0.3">
      <c r="A61" s="64"/>
      <c r="B61" s="65"/>
      <c r="D61" s="119"/>
      <c r="E61" s="115" t="s">
        <v>16</v>
      </c>
      <c r="F61" s="23"/>
      <c r="G61" s="23"/>
      <c r="H61" s="24" t="e">
        <f t="shared" si="6"/>
        <v>#DIV/0!</v>
      </c>
      <c r="I61" s="33"/>
      <c r="J61" s="21">
        <f t="shared" si="1"/>
        <v>0</v>
      </c>
      <c r="K61" s="24" t="e">
        <f t="shared" si="2"/>
        <v>#DIV/0!</v>
      </c>
      <c r="L61" s="70" t="e">
        <f t="shared" si="3"/>
        <v>#DIV/0!</v>
      </c>
      <c r="M61" s="75" t="e">
        <f t="shared" si="4"/>
        <v>#DIV/0!</v>
      </c>
      <c r="N61" s="1"/>
      <c r="O61" s="28"/>
      <c r="P61" s="19" t="s">
        <v>39</v>
      </c>
      <c r="Q61" s="30">
        <f t="shared" si="5"/>
        <v>-2</v>
      </c>
      <c r="R61" s="38"/>
    </row>
    <row r="62" spans="1:18" x14ac:dyDescent="0.3">
      <c r="A62" s="64"/>
      <c r="B62" s="65"/>
      <c r="D62" s="119"/>
      <c r="E62" s="115" t="s">
        <v>16</v>
      </c>
      <c r="F62" s="23"/>
      <c r="G62" s="23"/>
      <c r="H62" s="24" t="e">
        <f t="shared" si="6"/>
        <v>#DIV/0!</v>
      </c>
      <c r="I62" s="33"/>
      <c r="J62" s="21">
        <f t="shared" si="1"/>
        <v>0</v>
      </c>
      <c r="K62" s="24" t="e">
        <f t="shared" si="2"/>
        <v>#DIV/0!</v>
      </c>
      <c r="L62" s="70" t="e">
        <f t="shared" si="3"/>
        <v>#DIV/0!</v>
      </c>
      <c r="M62" s="75" t="e">
        <f t="shared" si="4"/>
        <v>#DIV/0!</v>
      </c>
      <c r="N62" s="1"/>
      <c r="O62" s="28"/>
      <c r="P62" s="19" t="s">
        <v>39</v>
      </c>
      <c r="Q62" s="30">
        <f t="shared" si="5"/>
        <v>-2</v>
      </c>
      <c r="R62" s="38"/>
    </row>
    <row r="63" spans="1:18" x14ac:dyDescent="0.3">
      <c r="A63" s="64"/>
      <c r="B63" s="65"/>
      <c r="D63" s="119"/>
      <c r="E63" s="115" t="s">
        <v>16</v>
      </c>
      <c r="F63" s="23"/>
      <c r="G63" s="23"/>
      <c r="H63" s="24" t="e">
        <f t="shared" si="6"/>
        <v>#DIV/0!</v>
      </c>
      <c r="I63" s="33"/>
      <c r="J63" s="21">
        <f t="shared" si="1"/>
        <v>0</v>
      </c>
      <c r="K63" s="24" t="e">
        <f t="shared" si="2"/>
        <v>#DIV/0!</v>
      </c>
      <c r="L63" s="70" t="e">
        <f t="shared" si="3"/>
        <v>#DIV/0!</v>
      </c>
      <c r="M63" s="75" t="e">
        <f t="shared" si="4"/>
        <v>#DIV/0!</v>
      </c>
      <c r="N63" s="1"/>
      <c r="O63" s="28"/>
      <c r="P63" s="19" t="s">
        <v>39</v>
      </c>
      <c r="Q63" s="30">
        <f t="shared" si="5"/>
        <v>-2</v>
      </c>
      <c r="R63" s="38"/>
    </row>
    <row r="64" spans="1:18" x14ac:dyDescent="0.3">
      <c r="A64" s="64"/>
      <c r="B64" s="65"/>
      <c r="D64" s="119"/>
      <c r="E64" s="115" t="s">
        <v>16</v>
      </c>
      <c r="F64" s="23"/>
      <c r="G64" s="23"/>
      <c r="H64" s="24" t="e">
        <f t="shared" si="6"/>
        <v>#DIV/0!</v>
      </c>
      <c r="I64" s="33"/>
      <c r="J64" s="21">
        <f t="shared" si="1"/>
        <v>0</v>
      </c>
      <c r="K64" s="24" t="e">
        <f t="shared" si="2"/>
        <v>#DIV/0!</v>
      </c>
      <c r="L64" s="70" t="e">
        <f t="shared" si="3"/>
        <v>#DIV/0!</v>
      </c>
      <c r="M64" s="75" t="e">
        <f t="shared" si="4"/>
        <v>#DIV/0!</v>
      </c>
      <c r="N64" s="1"/>
      <c r="O64" s="28"/>
      <c r="P64" s="19" t="s">
        <v>39</v>
      </c>
      <c r="Q64" s="30">
        <f t="shared" si="5"/>
        <v>-2</v>
      </c>
      <c r="R64" s="38"/>
    </row>
    <row r="65" spans="1:18" x14ac:dyDescent="0.3">
      <c r="A65" s="64"/>
      <c r="B65" s="65"/>
      <c r="D65" s="119"/>
      <c r="E65" s="115" t="s">
        <v>16</v>
      </c>
      <c r="F65" s="23"/>
      <c r="G65" s="23"/>
      <c r="H65" s="24" t="e">
        <f t="shared" si="6"/>
        <v>#DIV/0!</v>
      </c>
      <c r="I65" s="33"/>
      <c r="J65" s="21">
        <f t="shared" si="1"/>
        <v>0</v>
      </c>
      <c r="K65" s="24" t="e">
        <f t="shared" si="2"/>
        <v>#DIV/0!</v>
      </c>
      <c r="L65" s="70" t="e">
        <f t="shared" si="3"/>
        <v>#DIV/0!</v>
      </c>
      <c r="M65" s="75" t="e">
        <f t="shared" si="4"/>
        <v>#DIV/0!</v>
      </c>
      <c r="N65" s="1"/>
      <c r="O65" s="28"/>
      <c r="P65" s="19" t="s">
        <v>39</v>
      </c>
      <c r="Q65" s="30">
        <f t="shared" si="5"/>
        <v>-2</v>
      </c>
      <c r="R65" s="38"/>
    </row>
    <row r="66" spans="1:18" x14ac:dyDescent="0.3">
      <c r="A66" s="64"/>
      <c r="B66" s="65"/>
      <c r="D66" s="119"/>
      <c r="E66" s="115" t="s">
        <v>16</v>
      </c>
      <c r="F66" s="23"/>
      <c r="G66" s="23"/>
      <c r="H66" s="24" t="e">
        <f t="shared" si="6"/>
        <v>#DIV/0!</v>
      </c>
      <c r="I66" s="33"/>
      <c r="J66" s="21">
        <f t="shared" si="1"/>
        <v>0</v>
      </c>
      <c r="K66" s="24" t="e">
        <f t="shared" si="2"/>
        <v>#DIV/0!</v>
      </c>
      <c r="L66" s="70" t="e">
        <f t="shared" si="3"/>
        <v>#DIV/0!</v>
      </c>
      <c r="M66" s="75" t="e">
        <f t="shared" si="4"/>
        <v>#DIV/0!</v>
      </c>
      <c r="N66" s="1"/>
      <c r="O66" s="28"/>
      <c r="P66" s="19" t="s">
        <v>39</v>
      </c>
      <c r="Q66" s="30">
        <f t="shared" si="5"/>
        <v>-2</v>
      </c>
      <c r="R66" s="38"/>
    </row>
    <row r="67" spans="1:18" x14ac:dyDescent="0.3">
      <c r="A67" s="64"/>
      <c r="B67" s="65"/>
      <c r="D67" s="119"/>
      <c r="E67" s="115" t="s">
        <v>16</v>
      </c>
      <c r="F67" s="23"/>
      <c r="G67" s="23"/>
      <c r="H67" s="24" t="e">
        <f t="shared" si="6"/>
        <v>#DIV/0!</v>
      </c>
      <c r="I67" s="33"/>
      <c r="J67" s="21">
        <f t="shared" ref="J67:J71" si="7">F67*I67+IF(N67="Фрибет",(F67*I67-F67)-F67*I67)</f>
        <v>0</v>
      </c>
      <c r="K67" s="24" t="e">
        <f t="shared" ref="K67:K71" si="8">((J67*100)/G67)</f>
        <v>#DIV/0!</v>
      </c>
      <c r="L67" s="70" t="e">
        <f t="shared" ref="L67:L71" si="9">1-M67</f>
        <v>#DIV/0!</v>
      </c>
      <c r="M67" s="75" t="e">
        <f t="shared" ref="M67:M71" si="10">1/I67</f>
        <v>#DIV/0!</v>
      </c>
      <c r="N67" s="1"/>
      <c r="O67" s="28"/>
      <c r="P67" s="19" t="s">
        <v>39</v>
      </c>
      <c r="Q67" s="30">
        <f t="shared" si="5"/>
        <v>-2</v>
      </c>
      <c r="R67" s="38"/>
    </row>
    <row r="68" spans="1:18" x14ac:dyDescent="0.3">
      <c r="A68" s="64"/>
      <c r="B68" s="65"/>
      <c r="D68" s="119"/>
      <c r="E68" s="115" t="s">
        <v>16</v>
      </c>
      <c r="F68" s="23"/>
      <c r="G68" s="23"/>
      <c r="H68" s="24" t="e">
        <f t="shared" si="6"/>
        <v>#DIV/0!</v>
      </c>
      <c r="I68" s="33"/>
      <c r="J68" s="21">
        <f t="shared" si="7"/>
        <v>0</v>
      </c>
      <c r="K68" s="24" t="e">
        <f t="shared" si="8"/>
        <v>#DIV/0!</v>
      </c>
      <c r="L68" s="70" t="e">
        <f t="shared" si="9"/>
        <v>#DIV/0!</v>
      </c>
      <c r="M68" s="75" t="e">
        <f t="shared" si="10"/>
        <v>#DIV/0!</v>
      </c>
      <c r="N68" s="1"/>
      <c r="O68" s="28"/>
      <c r="P68" s="19" t="s">
        <v>39</v>
      </c>
      <c r="Q68" s="30">
        <f t="shared" ref="Q68:Q71" si="11">IF(P68="Победа",1)+IF(P68="Поражение",0)+IF(P68="Не ставил",-2)</f>
        <v>-2</v>
      </c>
      <c r="R68" s="38"/>
    </row>
    <row r="69" spans="1:18" x14ac:dyDescent="0.3">
      <c r="A69" s="64"/>
      <c r="B69" s="65"/>
      <c r="D69" s="119"/>
      <c r="E69" s="115" t="s">
        <v>16</v>
      </c>
      <c r="F69" s="23"/>
      <c r="G69" s="23"/>
      <c r="H69" s="24" t="e">
        <f t="shared" si="6"/>
        <v>#DIV/0!</v>
      </c>
      <c r="I69" s="33"/>
      <c r="J69" s="21">
        <f t="shared" si="7"/>
        <v>0</v>
      </c>
      <c r="K69" s="24" t="e">
        <f t="shared" si="8"/>
        <v>#DIV/0!</v>
      </c>
      <c r="L69" s="70" t="e">
        <f t="shared" si="9"/>
        <v>#DIV/0!</v>
      </c>
      <c r="M69" s="75" t="e">
        <f t="shared" si="10"/>
        <v>#DIV/0!</v>
      </c>
      <c r="N69" s="1"/>
      <c r="O69" s="28"/>
      <c r="P69" s="19" t="s">
        <v>39</v>
      </c>
      <c r="Q69" s="30">
        <f t="shared" si="11"/>
        <v>-2</v>
      </c>
      <c r="R69" s="38"/>
    </row>
    <row r="70" spans="1:18" x14ac:dyDescent="0.3">
      <c r="A70" s="64"/>
      <c r="B70" s="65"/>
      <c r="D70" s="119"/>
      <c r="E70" s="115" t="s">
        <v>16</v>
      </c>
      <c r="F70" s="23"/>
      <c r="G70" s="23"/>
      <c r="H70" s="24" t="e">
        <f t="shared" si="6"/>
        <v>#DIV/0!</v>
      </c>
      <c r="I70" s="33"/>
      <c r="J70" s="21">
        <f t="shared" si="7"/>
        <v>0</v>
      </c>
      <c r="K70" s="24" t="e">
        <f t="shared" si="8"/>
        <v>#DIV/0!</v>
      </c>
      <c r="L70" s="70" t="e">
        <f t="shared" si="9"/>
        <v>#DIV/0!</v>
      </c>
      <c r="M70" s="75" t="e">
        <f t="shared" si="10"/>
        <v>#DIV/0!</v>
      </c>
      <c r="N70" s="1"/>
      <c r="O70" s="28"/>
      <c r="P70" s="19" t="s">
        <v>39</v>
      </c>
      <c r="Q70" s="30">
        <f t="shared" si="11"/>
        <v>-2</v>
      </c>
      <c r="R70" s="38"/>
    </row>
    <row r="71" spans="1:18" ht="15" thickBot="1" x14ac:dyDescent="0.35">
      <c r="A71" s="56"/>
      <c r="B71" s="66"/>
      <c r="D71" s="119"/>
      <c r="E71" s="115" t="s">
        <v>16</v>
      </c>
      <c r="F71" s="23"/>
      <c r="G71" s="23"/>
      <c r="H71" s="24" t="e">
        <f t="shared" si="6"/>
        <v>#DIV/0!</v>
      </c>
      <c r="I71" s="33"/>
      <c r="J71" s="21">
        <f t="shared" si="7"/>
        <v>0</v>
      </c>
      <c r="K71" s="24" t="e">
        <f t="shared" si="8"/>
        <v>#DIV/0!</v>
      </c>
      <c r="L71" s="70" t="e">
        <f t="shared" si="9"/>
        <v>#DIV/0!</v>
      </c>
      <c r="M71" s="75" t="e">
        <f t="shared" si="10"/>
        <v>#DIV/0!</v>
      </c>
      <c r="N71" s="1"/>
      <c r="O71" s="28"/>
      <c r="P71" s="19" t="s">
        <v>39</v>
      </c>
      <c r="Q71" s="30">
        <f t="shared" si="11"/>
        <v>-2</v>
      </c>
      <c r="R71" s="38"/>
    </row>
    <row r="72" spans="1:18" x14ac:dyDescent="0.3">
      <c r="E72"/>
      <c r="F72"/>
      <c r="G72"/>
      <c r="H72"/>
      <c r="I72"/>
      <c r="J72"/>
      <c r="K72"/>
      <c r="L72" s="73"/>
      <c r="M72" s="78"/>
      <c r="O72"/>
      <c r="P72"/>
      <c r="Q72"/>
      <c r="R72"/>
    </row>
    <row r="73" spans="1:18" x14ac:dyDescent="0.3">
      <c r="E73"/>
      <c r="F73"/>
      <c r="G73"/>
      <c r="H73"/>
      <c r="I73"/>
      <c r="J73"/>
      <c r="K73"/>
      <c r="L73" s="73"/>
      <c r="M73" s="78"/>
      <c r="O73"/>
      <c r="P73"/>
      <c r="Q73"/>
      <c r="R73"/>
    </row>
    <row r="74" spans="1:18" x14ac:dyDescent="0.3">
      <c r="E74"/>
      <c r="F74"/>
      <c r="G74"/>
      <c r="H74"/>
      <c r="I74"/>
      <c r="J74"/>
      <c r="K74"/>
      <c r="L74" s="73"/>
      <c r="M74" s="78"/>
      <c r="O74"/>
      <c r="P74"/>
      <c r="Q74"/>
      <c r="R74"/>
    </row>
    <row r="75" spans="1:18" x14ac:dyDescent="0.3">
      <c r="E75"/>
      <c r="F75"/>
      <c r="G75"/>
      <c r="H75"/>
      <c r="I75"/>
      <c r="J75"/>
      <c r="K75"/>
      <c r="L75" s="73"/>
      <c r="M75" s="78"/>
      <c r="O75"/>
      <c r="P75"/>
      <c r="Q75"/>
      <c r="R75"/>
    </row>
    <row r="76" spans="1:18" x14ac:dyDescent="0.3">
      <c r="E76"/>
      <c r="F76"/>
      <c r="G76"/>
      <c r="H76"/>
      <c r="I76"/>
      <c r="J76"/>
      <c r="K76"/>
      <c r="L76" s="73"/>
      <c r="M76" s="78"/>
      <c r="O76"/>
      <c r="P76"/>
      <c r="Q76"/>
      <c r="R76"/>
    </row>
    <row r="77" spans="1:18" x14ac:dyDescent="0.3">
      <c r="E77"/>
      <c r="F77"/>
      <c r="G77"/>
      <c r="H77"/>
      <c r="I77"/>
      <c r="J77"/>
      <c r="K77"/>
      <c r="L77" s="73"/>
      <c r="M77" s="78"/>
      <c r="O77"/>
      <c r="P77"/>
      <c r="Q77"/>
      <c r="R77"/>
    </row>
    <row r="78" spans="1:18" x14ac:dyDescent="0.3">
      <c r="E78"/>
      <c r="F78"/>
      <c r="G78"/>
      <c r="H78"/>
      <c r="I78"/>
      <c r="J78"/>
      <c r="K78"/>
      <c r="L78" s="73"/>
      <c r="M78" s="78"/>
      <c r="O78"/>
      <c r="P78"/>
      <c r="Q78"/>
      <c r="R78"/>
    </row>
    <row r="79" spans="1:18" x14ac:dyDescent="0.3">
      <c r="E79"/>
      <c r="F79"/>
      <c r="G79"/>
      <c r="H79"/>
      <c r="I79"/>
      <c r="J79"/>
      <c r="K79"/>
      <c r="L79" s="73"/>
      <c r="M79" s="78"/>
      <c r="O79"/>
      <c r="P79"/>
      <c r="Q79"/>
      <c r="R79"/>
    </row>
    <row r="80" spans="1:18" x14ac:dyDescent="0.3">
      <c r="E80"/>
      <c r="F80"/>
      <c r="G80"/>
      <c r="H80"/>
      <c r="I80"/>
      <c r="J80"/>
      <c r="K80"/>
      <c r="L80" s="73"/>
      <c r="M80" s="78"/>
      <c r="O80"/>
      <c r="P80"/>
      <c r="Q80"/>
      <c r="R80"/>
    </row>
    <row r="81" spans="12:13" customFormat="1" x14ac:dyDescent="0.3">
      <c r="L81" s="73"/>
      <c r="M81" s="78"/>
    </row>
    <row r="82" spans="12:13" customFormat="1" x14ac:dyDescent="0.3">
      <c r="L82" s="73"/>
      <c r="M82" s="78"/>
    </row>
    <row r="83" spans="12:13" customFormat="1" x14ac:dyDescent="0.3">
      <c r="L83" s="73"/>
      <c r="M83" s="78"/>
    </row>
    <row r="84" spans="12:13" customFormat="1" x14ac:dyDescent="0.3">
      <c r="L84" s="73"/>
      <c r="M84" s="78"/>
    </row>
    <row r="85" spans="12:13" customFormat="1" x14ac:dyDescent="0.3">
      <c r="L85" s="73"/>
      <c r="M85" s="78"/>
    </row>
    <row r="86" spans="12:13" customFormat="1" x14ac:dyDescent="0.3">
      <c r="L86" s="73"/>
      <c r="M86" s="78"/>
    </row>
    <row r="87" spans="12:13" customFormat="1" x14ac:dyDescent="0.3">
      <c r="L87" s="73"/>
      <c r="M87" s="78"/>
    </row>
    <row r="88" spans="12:13" customFormat="1" x14ac:dyDescent="0.3">
      <c r="L88" s="73"/>
      <c r="M88" s="78"/>
    </row>
    <row r="89" spans="12:13" customFormat="1" x14ac:dyDescent="0.3">
      <c r="L89" s="73"/>
      <c r="M89" s="78"/>
    </row>
    <row r="90" spans="12:13" customFormat="1" x14ac:dyDescent="0.3">
      <c r="L90" s="73"/>
      <c r="M90" s="78"/>
    </row>
    <row r="91" spans="12:13" customFormat="1" x14ac:dyDescent="0.3">
      <c r="L91" s="73"/>
      <c r="M91" s="78"/>
    </row>
    <row r="92" spans="12:13" customFormat="1" x14ac:dyDescent="0.3">
      <c r="L92" s="73"/>
      <c r="M92" s="78"/>
    </row>
    <row r="93" spans="12:13" customFormat="1" x14ac:dyDescent="0.3">
      <c r="L93" s="73"/>
      <c r="M93" s="78"/>
    </row>
    <row r="94" spans="12:13" customFormat="1" x14ac:dyDescent="0.3">
      <c r="L94" s="73"/>
      <c r="M94" s="78"/>
    </row>
    <row r="95" spans="12:13" customFormat="1" x14ac:dyDescent="0.3">
      <c r="L95" s="73"/>
      <c r="M95" s="78"/>
    </row>
    <row r="96" spans="12:13" customFormat="1" x14ac:dyDescent="0.3">
      <c r="L96" s="73"/>
      <c r="M96" s="78"/>
    </row>
    <row r="97" spans="12:13" customFormat="1" x14ac:dyDescent="0.3">
      <c r="L97" s="73"/>
      <c r="M97" s="78"/>
    </row>
    <row r="98" spans="12:13" customFormat="1" x14ac:dyDescent="0.3">
      <c r="L98" s="73"/>
      <c r="M98" s="78"/>
    </row>
    <row r="99" spans="12:13" customFormat="1" x14ac:dyDescent="0.3">
      <c r="L99" s="73"/>
      <c r="M99" s="78"/>
    </row>
    <row r="100" spans="12:13" customFormat="1" x14ac:dyDescent="0.3">
      <c r="L100" s="73"/>
      <c r="M100" s="78"/>
    </row>
    <row r="101" spans="12:13" customFormat="1" x14ac:dyDescent="0.3">
      <c r="L101" s="73"/>
      <c r="M101" s="78"/>
    </row>
    <row r="102" spans="12:13" customFormat="1" x14ac:dyDescent="0.3">
      <c r="L102" s="73"/>
      <c r="M102" s="78"/>
    </row>
    <row r="103" spans="12:13" customFormat="1" x14ac:dyDescent="0.3">
      <c r="L103" s="73"/>
      <c r="M103" s="78"/>
    </row>
    <row r="104" spans="12:13" customFormat="1" x14ac:dyDescent="0.3">
      <c r="L104" s="73"/>
      <c r="M104" s="78"/>
    </row>
    <row r="105" spans="12:13" customFormat="1" x14ac:dyDescent="0.3">
      <c r="L105" s="73"/>
      <c r="M105" s="78"/>
    </row>
    <row r="106" spans="12:13" customFormat="1" x14ac:dyDescent="0.3">
      <c r="L106" s="73"/>
      <c r="M106" s="78"/>
    </row>
    <row r="107" spans="12:13" customFormat="1" x14ac:dyDescent="0.3">
      <c r="L107" s="73"/>
      <c r="M107" s="78"/>
    </row>
    <row r="108" spans="12:13" customFormat="1" x14ac:dyDescent="0.3">
      <c r="L108" s="73"/>
      <c r="M108" s="78"/>
    </row>
    <row r="109" spans="12:13" customFormat="1" x14ac:dyDescent="0.3">
      <c r="L109" s="73"/>
      <c r="M109" s="78"/>
    </row>
    <row r="110" spans="12:13" customFormat="1" x14ac:dyDescent="0.3">
      <c r="L110" s="73"/>
      <c r="M110" s="78"/>
    </row>
    <row r="111" spans="12:13" customFormat="1" x14ac:dyDescent="0.3">
      <c r="L111" s="73"/>
      <c r="M111" s="78"/>
    </row>
    <row r="112" spans="12:13" customFormat="1" x14ac:dyDescent="0.3">
      <c r="L112" s="73"/>
      <c r="M112" s="78"/>
    </row>
    <row r="113" spans="12:13" customFormat="1" x14ac:dyDescent="0.3">
      <c r="L113" s="73"/>
      <c r="M113" s="78"/>
    </row>
    <row r="114" spans="12:13" customFormat="1" x14ac:dyDescent="0.3">
      <c r="L114" s="73"/>
      <c r="M114" s="78"/>
    </row>
    <row r="115" spans="12:13" customFormat="1" x14ac:dyDescent="0.3">
      <c r="L115" s="73"/>
      <c r="M115" s="78"/>
    </row>
    <row r="116" spans="12:13" customFormat="1" x14ac:dyDescent="0.3">
      <c r="L116" s="73"/>
      <c r="M116" s="78"/>
    </row>
    <row r="117" spans="12:13" customFormat="1" x14ac:dyDescent="0.3">
      <c r="L117" s="73"/>
      <c r="M117" s="78"/>
    </row>
    <row r="118" spans="12:13" customFormat="1" x14ac:dyDescent="0.3">
      <c r="L118" s="73"/>
      <c r="M118" s="78"/>
    </row>
    <row r="119" spans="12:13" customFormat="1" x14ac:dyDescent="0.3">
      <c r="L119" s="73"/>
      <c r="M119" s="78"/>
    </row>
    <row r="120" spans="12:13" customFormat="1" x14ac:dyDescent="0.3">
      <c r="L120" s="73"/>
      <c r="M120" s="78"/>
    </row>
    <row r="121" spans="12:13" customFormat="1" x14ac:dyDescent="0.3">
      <c r="L121" s="73"/>
      <c r="M121" s="78"/>
    </row>
    <row r="122" spans="12:13" customFormat="1" x14ac:dyDescent="0.3">
      <c r="L122" s="73"/>
      <c r="M122" s="78"/>
    </row>
    <row r="123" spans="12:13" customFormat="1" x14ac:dyDescent="0.3">
      <c r="L123" s="73"/>
      <c r="M123" s="78"/>
    </row>
    <row r="124" spans="12:13" customFormat="1" x14ac:dyDescent="0.3">
      <c r="L124" s="73"/>
      <c r="M124" s="78"/>
    </row>
    <row r="125" spans="12:13" customFormat="1" x14ac:dyDescent="0.3">
      <c r="L125" s="73"/>
      <c r="M125" s="78"/>
    </row>
    <row r="126" spans="12:13" customFormat="1" x14ac:dyDescent="0.3">
      <c r="L126" s="73"/>
      <c r="M126" s="78"/>
    </row>
    <row r="127" spans="12:13" customFormat="1" x14ac:dyDescent="0.3">
      <c r="L127" s="73"/>
      <c r="M127" s="78"/>
    </row>
    <row r="128" spans="12:13" customFormat="1" x14ac:dyDescent="0.3">
      <c r="L128" s="73"/>
      <c r="M128" s="78"/>
    </row>
    <row r="129" spans="12:13" customFormat="1" x14ac:dyDescent="0.3">
      <c r="L129" s="73"/>
      <c r="M129" s="78"/>
    </row>
    <row r="130" spans="12:13" customFormat="1" x14ac:dyDescent="0.3">
      <c r="L130" s="73"/>
      <c r="M130" s="78"/>
    </row>
    <row r="131" spans="12:13" customFormat="1" x14ac:dyDescent="0.3">
      <c r="L131" s="73"/>
      <c r="M131" s="78"/>
    </row>
    <row r="132" spans="12:13" customFormat="1" x14ac:dyDescent="0.3">
      <c r="L132" s="73"/>
      <c r="M132" s="78"/>
    </row>
    <row r="133" spans="12:13" customFormat="1" x14ac:dyDescent="0.3">
      <c r="L133" s="73"/>
      <c r="M133" s="78"/>
    </row>
    <row r="134" spans="12:13" customFormat="1" x14ac:dyDescent="0.3">
      <c r="L134" s="73"/>
      <c r="M134" s="78"/>
    </row>
    <row r="135" spans="12:13" customFormat="1" x14ac:dyDescent="0.3">
      <c r="L135" s="73"/>
      <c r="M135" s="78"/>
    </row>
    <row r="136" spans="12:13" customFormat="1" x14ac:dyDescent="0.3">
      <c r="L136" s="73"/>
      <c r="M136" s="78"/>
    </row>
    <row r="137" spans="12:13" customFormat="1" x14ac:dyDescent="0.3">
      <c r="L137" s="73"/>
      <c r="M137" s="78"/>
    </row>
    <row r="138" spans="12:13" customFormat="1" x14ac:dyDescent="0.3">
      <c r="L138" s="73"/>
      <c r="M138" s="78"/>
    </row>
    <row r="139" spans="12:13" customFormat="1" x14ac:dyDescent="0.3">
      <c r="L139" s="73"/>
      <c r="M139" s="78"/>
    </row>
    <row r="140" spans="12:13" customFormat="1" x14ac:dyDescent="0.3">
      <c r="L140" s="73"/>
      <c r="M140" s="78"/>
    </row>
    <row r="141" spans="12:13" customFormat="1" x14ac:dyDescent="0.3">
      <c r="L141" s="73"/>
      <c r="M141" s="78"/>
    </row>
    <row r="142" spans="12:13" customFormat="1" x14ac:dyDescent="0.3">
      <c r="L142" s="73"/>
      <c r="M142" s="78"/>
    </row>
    <row r="143" spans="12:13" customFormat="1" x14ac:dyDescent="0.3">
      <c r="L143" s="73"/>
      <c r="M143" s="78"/>
    </row>
    <row r="144" spans="12:13" customFormat="1" x14ac:dyDescent="0.3">
      <c r="L144" s="73"/>
      <c r="M144" s="78"/>
    </row>
    <row r="145" spans="12:13" customFormat="1" x14ac:dyDescent="0.3">
      <c r="L145" s="73"/>
      <c r="M145" s="78"/>
    </row>
    <row r="146" spans="12:13" customFormat="1" x14ac:dyDescent="0.3">
      <c r="L146" s="73"/>
      <c r="M146" s="78"/>
    </row>
    <row r="147" spans="12:13" customFormat="1" x14ac:dyDescent="0.3">
      <c r="L147" s="73"/>
      <c r="M147" s="78"/>
    </row>
    <row r="148" spans="12:13" customFormat="1" x14ac:dyDescent="0.3">
      <c r="L148" s="73"/>
      <c r="M148" s="78"/>
    </row>
    <row r="149" spans="12:13" customFormat="1" x14ac:dyDescent="0.3">
      <c r="L149" s="73"/>
      <c r="M149" s="78"/>
    </row>
    <row r="150" spans="12:13" customFormat="1" x14ac:dyDescent="0.3">
      <c r="L150" s="73"/>
      <c r="M150" s="78"/>
    </row>
    <row r="151" spans="12:13" customFormat="1" x14ac:dyDescent="0.3">
      <c r="L151" s="73"/>
      <c r="M151" s="78"/>
    </row>
    <row r="152" spans="12:13" customFormat="1" x14ac:dyDescent="0.3">
      <c r="L152" s="73"/>
      <c r="M152" s="78"/>
    </row>
    <row r="153" spans="12:13" customFormat="1" x14ac:dyDescent="0.3">
      <c r="L153" s="73"/>
      <c r="M153" s="78"/>
    </row>
    <row r="154" spans="12:13" customFormat="1" x14ac:dyDescent="0.3">
      <c r="L154" s="73"/>
      <c r="M154" s="78"/>
    </row>
    <row r="155" spans="12:13" customFormat="1" x14ac:dyDescent="0.3">
      <c r="L155" s="73"/>
      <c r="M155" s="78"/>
    </row>
    <row r="156" spans="12:13" customFormat="1" x14ac:dyDescent="0.3">
      <c r="L156" s="73"/>
      <c r="M156" s="78"/>
    </row>
    <row r="157" spans="12:13" customFormat="1" x14ac:dyDescent="0.3">
      <c r="L157" s="73"/>
      <c r="M157" s="78"/>
    </row>
    <row r="158" spans="12:13" customFormat="1" x14ac:dyDescent="0.3">
      <c r="L158" s="73"/>
      <c r="M158" s="78"/>
    </row>
    <row r="159" spans="12:13" customFormat="1" x14ac:dyDescent="0.3">
      <c r="L159" s="73"/>
      <c r="M159" s="78"/>
    </row>
    <row r="160" spans="12:13" customFormat="1" x14ac:dyDescent="0.3">
      <c r="L160" s="73"/>
      <c r="M160" s="78"/>
    </row>
    <row r="161" spans="12:13" customFormat="1" x14ac:dyDescent="0.3">
      <c r="L161" s="73"/>
      <c r="M161" s="78"/>
    </row>
    <row r="162" spans="12:13" customFormat="1" x14ac:dyDescent="0.3">
      <c r="L162" s="73"/>
      <c r="M162" s="78"/>
    </row>
    <row r="163" spans="12:13" customFormat="1" x14ac:dyDescent="0.3">
      <c r="L163" s="73"/>
      <c r="M163" s="78"/>
    </row>
    <row r="164" spans="12:13" customFormat="1" x14ac:dyDescent="0.3">
      <c r="L164" s="73"/>
      <c r="M164" s="78"/>
    </row>
    <row r="165" spans="12:13" customFormat="1" x14ac:dyDescent="0.3">
      <c r="L165" s="73"/>
      <c r="M165" s="78"/>
    </row>
    <row r="166" spans="12:13" customFormat="1" x14ac:dyDescent="0.3">
      <c r="L166" s="73"/>
      <c r="M166" s="78"/>
    </row>
    <row r="167" spans="12:13" customFormat="1" x14ac:dyDescent="0.3">
      <c r="L167" s="73"/>
      <c r="M167" s="78"/>
    </row>
    <row r="168" spans="12:13" customFormat="1" x14ac:dyDescent="0.3">
      <c r="L168" s="73"/>
      <c r="M168" s="78"/>
    </row>
    <row r="169" spans="12:13" customFormat="1" x14ac:dyDescent="0.3">
      <c r="L169" s="73"/>
      <c r="M169" s="78"/>
    </row>
    <row r="170" spans="12:13" customFormat="1" x14ac:dyDescent="0.3">
      <c r="L170" s="73"/>
      <c r="M170" s="78"/>
    </row>
    <row r="171" spans="12:13" customFormat="1" x14ac:dyDescent="0.3">
      <c r="L171" s="73"/>
      <c r="M171" s="78"/>
    </row>
    <row r="172" spans="12:13" customFormat="1" x14ac:dyDescent="0.3">
      <c r="L172" s="73"/>
      <c r="M172" s="78"/>
    </row>
    <row r="173" spans="12:13" customFormat="1" x14ac:dyDescent="0.3">
      <c r="L173" s="73"/>
      <c r="M173" s="78"/>
    </row>
    <row r="174" spans="12:13" customFormat="1" x14ac:dyDescent="0.3">
      <c r="L174" s="73"/>
      <c r="M174" s="78"/>
    </row>
    <row r="175" spans="12:13" customFormat="1" x14ac:dyDescent="0.3">
      <c r="L175" s="73"/>
      <c r="M175" s="78"/>
    </row>
    <row r="176" spans="12:13" customFormat="1" x14ac:dyDescent="0.3">
      <c r="L176" s="73"/>
      <c r="M176" s="78"/>
    </row>
    <row r="177" spans="12:13" customFormat="1" x14ac:dyDescent="0.3">
      <c r="L177" s="73"/>
      <c r="M177" s="78"/>
    </row>
    <row r="178" spans="12:13" customFormat="1" x14ac:dyDescent="0.3">
      <c r="L178" s="73"/>
      <c r="M178" s="78"/>
    </row>
    <row r="179" spans="12:13" customFormat="1" x14ac:dyDescent="0.3">
      <c r="L179" s="73"/>
      <c r="M179" s="78"/>
    </row>
    <row r="180" spans="12:13" customFormat="1" x14ac:dyDescent="0.3">
      <c r="L180" s="73"/>
      <c r="M180" s="78"/>
    </row>
    <row r="181" spans="12:13" customFormat="1" x14ac:dyDescent="0.3">
      <c r="L181" s="73"/>
      <c r="M181" s="78"/>
    </row>
    <row r="182" spans="12:13" customFormat="1" x14ac:dyDescent="0.3">
      <c r="L182" s="73"/>
      <c r="M182" s="78"/>
    </row>
    <row r="183" spans="12:13" customFormat="1" x14ac:dyDescent="0.3">
      <c r="L183" s="73"/>
      <c r="M183" s="78"/>
    </row>
    <row r="184" spans="12:13" customFormat="1" x14ac:dyDescent="0.3">
      <c r="L184" s="73"/>
      <c r="M184" s="78"/>
    </row>
    <row r="185" spans="12:13" customFormat="1" x14ac:dyDescent="0.3">
      <c r="L185" s="73"/>
      <c r="M185" s="78"/>
    </row>
    <row r="186" spans="12:13" customFormat="1" x14ac:dyDescent="0.3">
      <c r="L186" s="73"/>
      <c r="M186" s="78"/>
    </row>
    <row r="187" spans="12:13" customFormat="1" x14ac:dyDescent="0.3">
      <c r="L187" s="73"/>
      <c r="M187" s="78"/>
    </row>
    <row r="188" spans="12:13" customFormat="1" x14ac:dyDescent="0.3">
      <c r="L188" s="73"/>
      <c r="M188" s="78"/>
    </row>
    <row r="189" spans="12:13" customFormat="1" x14ac:dyDescent="0.3">
      <c r="L189" s="73"/>
      <c r="M189" s="78"/>
    </row>
    <row r="190" spans="12:13" customFormat="1" x14ac:dyDescent="0.3">
      <c r="L190" s="73"/>
      <c r="M190" s="78"/>
    </row>
    <row r="191" spans="12:13" customFormat="1" x14ac:dyDescent="0.3">
      <c r="L191" s="73"/>
      <c r="M191" s="78"/>
    </row>
    <row r="192" spans="12:13" customFormat="1" x14ac:dyDescent="0.3">
      <c r="L192" s="73"/>
      <c r="M192" s="78"/>
    </row>
    <row r="193" spans="12:13" customFormat="1" x14ac:dyDescent="0.3">
      <c r="L193" s="73"/>
      <c r="M193" s="78"/>
    </row>
    <row r="194" spans="12:13" customFormat="1" x14ac:dyDescent="0.3">
      <c r="L194" s="73"/>
      <c r="M194" s="78"/>
    </row>
    <row r="195" spans="12:13" customFormat="1" x14ac:dyDescent="0.3">
      <c r="L195" s="73"/>
      <c r="M195" s="78"/>
    </row>
    <row r="196" spans="12:13" customFormat="1" x14ac:dyDescent="0.3">
      <c r="L196" s="73"/>
      <c r="M196" s="78"/>
    </row>
    <row r="197" spans="12:13" customFormat="1" x14ac:dyDescent="0.3">
      <c r="L197" s="73"/>
      <c r="M197" s="78"/>
    </row>
    <row r="198" spans="12:13" customFormat="1" x14ac:dyDescent="0.3">
      <c r="L198" s="73"/>
      <c r="M198" s="78"/>
    </row>
    <row r="199" spans="12:13" customFormat="1" x14ac:dyDescent="0.3">
      <c r="L199" s="73"/>
      <c r="M199" s="78"/>
    </row>
    <row r="200" spans="12:13" customFormat="1" x14ac:dyDescent="0.3">
      <c r="L200" s="73"/>
      <c r="M200" s="78"/>
    </row>
    <row r="201" spans="12:13" customFormat="1" x14ac:dyDescent="0.3">
      <c r="L201" s="73"/>
      <c r="M201" s="78"/>
    </row>
  </sheetData>
  <mergeCells count="41">
    <mergeCell ref="AL27:AM27"/>
    <mergeCell ref="AL28:AM28"/>
    <mergeCell ref="AF2:AF3"/>
    <mergeCell ref="AG2:AG3"/>
    <mergeCell ref="AH2:AH3"/>
    <mergeCell ref="AI2:AI3"/>
    <mergeCell ref="AK2:AL3"/>
    <mergeCell ref="AB4:AC4"/>
    <mergeCell ref="AD4:AE4"/>
    <mergeCell ref="Z2:Z3"/>
    <mergeCell ref="AA2:AA3"/>
    <mergeCell ref="AB2:AC3"/>
    <mergeCell ref="AD2:AE3"/>
    <mergeCell ref="AK1:AX1"/>
    <mergeCell ref="AU2:AU3"/>
    <mergeCell ref="AV2:AV3"/>
    <mergeCell ref="AW2:AW3"/>
    <mergeCell ref="AX2:AX3"/>
    <mergeCell ref="AS2:AT3"/>
    <mergeCell ref="AQ4:AR4"/>
    <mergeCell ref="AS4:AT4"/>
    <mergeCell ref="AK4:AL4"/>
    <mergeCell ref="AM2:AN3"/>
    <mergeCell ref="AO2:AP3"/>
    <mergeCell ref="AQ2:AR3"/>
    <mergeCell ref="AO21:AS21"/>
    <mergeCell ref="Z1:AH1"/>
    <mergeCell ref="AO11:AV11"/>
    <mergeCell ref="AO12:AQ12"/>
    <mergeCell ref="AT12:AU12"/>
    <mergeCell ref="AO13:AQ13"/>
    <mergeCell ref="AT13:AU13"/>
    <mergeCell ref="AO9:AP9"/>
    <mergeCell ref="AQ9:AR9"/>
    <mergeCell ref="AS9:AT9"/>
    <mergeCell ref="AO8:AP8"/>
    <mergeCell ref="AQ8:AR8"/>
    <mergeCell ref="AS8:AT8"/>
    <mergeCell ref="AO7:AT7"/>
    <mergeCell ref="AM4:AN4"/>
    <mergeCell ref="AO4:AP4"/>
  </mergeCells>
  <conditionalFormatting sqref="L2:L71">
    <cfRule type="cellIs" dxfId="52" priority="8" operator="greaterThanOrEqual">
      <formula>95%</formula>
    </cfRule>
    <cfRule type="cellIs" dxfId="51" priority="9" operator="greaterThanOrEqual">
      <formula>90%</formula>
    </cfRule>
    <cfRule type="cellIs" dxfId="50" priority="11" operator="greaterThanOrEqual">
      <formula>85%</formula>
    </cfRule>
  </conditionalFormatting>
  <conditionalFormatting sqref="E2:R71">
    <cfRule type="expression" dxfId="49" priority="5">
      <formula>$Q2:$Q26=0</formula>
    </cfRule>
    <cfRule type="expression" dxfId="48" priority="6">
      <formula>$Q2:$Q26=1</formula>
    </cfRule>
  </conditionalFormatting>
  <conditionalFormatting sqref="M2:M71">
    <cfRule type="cellIs" dxfId="47" priority="7" operator="greaterThanOrEqual">
      <formula>95%</formula>
    </cfRule>
    <cfRule type="cellIs" dxfId="46" priority="10" operator="greaterThanOrEqual">
      <formula>90%</formula>
    </cfRule>
    <cfRule type="cellIs" dxfId="45" priority="12" operator="greaterThanOrEqual">
      <formula>85%</formula>
    </cfRule>
  </conditionalFormatting>
  <conditionalFormatting sqref="U2">
    <cfRule type="iconSet" priority="4">
      <iconSet iconSet="3Arrows">
        <cfvo type="percent" val="0"/>
        <cfvo type="num" val="$V$2"/>
        <cfvo type="num" val="$V$2" gte="0"/>
      </iconSet>
    </cfRule>
  </conditionalFormatting>
  <conditionalFormatting sqref="V2">
    <cfRule type="iconSet" priority="3">
      <iconSet iconSet="3Arrows">
        <cfvo type="percent" val="0"/>
        <cfvo type="num" val="$U$2"/>
        <cfvo type="num" val="$U$2" gte="0"/>
      </iconSet>
    </cfRule>
  </conditionalFormatting>
  <conditionalFormatting sqref="D2:D71">
    <cfRule type="expression" dxfId="44" priority="1">
      <formula>$Q2:$Q26=0</formula>
    </cfRule>
    <cfRule type="expression" dxfId="43" priority="2">
      <formula>$Q2:$Q26=1</formula>
    </cfRule>
  </conditionalFormatting>
  <dataValidations count="1">
    <dataValidation type="list" allowBlank="1" showInputMessage="1" showErrorMessage="1" sqref="O2:O71 AO12:AQ12" xr:uid="{00000000-0002-0000-0500-000000000000}">
      <formula1>ВидСпортаЧемпионат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500-000001000000}">
          <x14:formula1>
            <xm:f>Мастерская!$A$1:$A$6</xm:f>
          </x14:formula1>
          <xm:sqref>E2:E71</xm:sqref>
        </x14:dataValidation>
        <x14:dataValidation type="list" allowBlank="1" showInputMessage="1" showErrorMessage="1" xr:uid="{00000000-0002-0000-0500-000002000000}">
          <x14:formula1>
            <xm:f>Мастерская!$E$1:$E$3</xm:f>
          </x14:formula1>
          <xm:sqref>P2:P71 P202:P1048576</xm:sqref>
        </x14:dataValidation>
        <x14:dataValidation type="list" allowBlank="1" showInputMessage="1" showErrorMessage="1" xr:uid="{00000000-0002-0000-0500-000003000000}">
          <x14:formula1>
            <xm:f>Мастерская!$C$1:$C$3</xm:f>
          </x14:formula1>
          <xm:sqref>N2:N71 N202:N1048576</xm:sqref>
        </x14:dataValidation>
        <x14:dataValidation type="list" allowBlank="1" showInputMessage="1" showErrorMessage="1" xr:uid="{00000000-0002-0000-0500-000005000000}">
          <x14:formula1>
            <xm:f>Мастерская!$A:$A</xm:f>
          </x14:formula1>
          <xm:sqref>E202:E1048576</xm:sqref>
        </x14:dataValidation>
        <x14:dataValidation type="list" allowBlank="1" showInputMessage="1" showErrorMessage="1" xr:uid="{00000000-0002-0000-0500-000006000000}">
          <x14:formula1>
            <xm:f>Мастерская!$I:$I</xm:f>
          </x14:formula1>
          <xm:sqref>O202:O1048576</xm:sqref>
        </x14:dataValidation>
        <x14:dataValidation type="list" allowBlank="1" showInputMessage="1" showErrorMessage="1" xr:uid="{400FC5FE-61AD-4867-A0E2-90F77EB68549}">
          <x14:formula1>
            <xm:f>Мастерская!$B$1:$B$23</xm:f>
          </x14:formula1>
          <xm:sqref>D2:D71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0"/>
  <dimension ref="A1:AX201"/>
  <sheetViews>
    <sheetView zoomScale="70" zoomScaleNormal="70" workbookViewId="0">
      <selection activeCell="A2" sqref="A2"/>
    </sheetView>
  </sheetViews>
  <sheetFormatPr defaultRowHeight="14.4" x14ac:dyDescent="0.3"/>
  <cols>
    <col min="1" max="1" width="12.109375" customWidth="1"/>
    <col min="2" max="2" width="12.6640625" customWidth="1"/>
    <col min="4" max="4" width="31.77734375" customWidth="1"/>
    <col min="5" max="5" width="18.6640625" style="20" customWidth="1"/>
    <col min="6" max="6" width="14.109375" style="17" customWidth="1"/>
    <col min="7" max="7" width="14.6640625" style="17" customWidth="1"/>
    <col min="8" max="8" width="14.88671875" style="17" customWidth="1"/>
    <col min="9" max="9" width="18" style="17" customWidth="1"/>
    <col min="10" max="10" width="20.33203125" style="17" customWidth="1"/>
    <col min="11" max="11" width="21.33203125" style="17" customWidth="1"/>
    <col min="12" max="12" width="23.109375" style="74" customWidth="1"/>
    <col min="13" max="13" width="20" style="79" customWidth="1"/>
    <col min="14" max="14" width="13" customWidth="1"/>
    <col min="15" max="15" width="29.33203125" style="13" customWidth="1"/>
    <col min="16" max="16" width="12.5546875" style="20" customWidth="1"/>
    <col min="17" max="17" width="19.109375" style="17" customWidth="1"/>
    <col min="18" max="18" width="19.109375" style="32" customWidth="1"/>
    <col min="19" max="19" width="10.5546875" customWidth="1"/>
    <col min="20" max="20" width="9.109375" customWidth="1"/>
    <col min="21" max="21" width="9.44140625" customWidth="1"/>
    <col min="22" max="22" width="10.6640625" customWidth="1"/>
    <col min="23" max="23" width="9.6640625" customWidth="1"/>
    <col min="24" max="24" width="15.33203125" customWidth="1"/>
    <col min="34" max="34" width="12.44140625" customWidth="1"/>
    <col min="35" max="35" width="30.109375" customWidth="1"/>
    <col min="38" max="38" width="13.6640625" customWidth="1"/>
    <col min="39" max="39" width="15.109375" customWidth="1"/>
    <col min="41" max="41" width="20.21875" customWidth="1"/>
    <col min="42" max="42" width="29.5546875" customWidth="1"/>
    <col min="43" max="43" width="27.6640625" customWidth="1"/>
    <col min="44" max="44" width="31.88671875" customWidth="1"/>
    <col min="45" max="45" width="30" customWidth="1"/>
    <col min="46" max="46" width="21.88671875" customWidth="1"/>
    <col min="47" max="47" width="16.44140625" customWidth="1"/>
    <col min="48" max="48" width="20.6640625" customWidth="1"/>
    <col min="49" max="49" width="14.88671875" customWidth="1"/>
    <col min="50" max="50" width="14.109375" customWidth="1"/>
  </cols>
  <sheetData>
    <row r="1" spans="1:50" ht="78" customHeight="1" thickTop="1" thickBot="1" x14ac:dyDescent="0.35">
      <c r="A1" s="46" t="s">
        <v>0</v>
      </c>
      <c r="B1" s="47" t="s">
        <v>1</v>
      </c>
      <c r="C1" s="2"/>
      <c r="D1" s="116" t="s">
        <v>179</v>
      </c>
      <c r="E1" s="114" t="s">
        <v>5</v>
      </c>
      <c r="F1" s="7" t="s">
        <v>2</v>
      </c>
      <c r="G1" s="8" t="s">
        <v>10</v>
      </c>
      <c r="H1" s="8" t="s">
        <v>6</v>
      </c>
      <c r="I1" s="7" t="s">
        <v>4</v>
      </c>
      <c r="J1" s="9" t="s">
        <v>9</v>
      </c>
      <c r="K1" s="8" t="s">
        <v>11</v>
      </c>
      <c r="L1" s="10" t="s">
        <v>7</v>
      </c>
      <c r="M1" s="10" t="s">
        <v>8</v>
      </c>
      <c r="N1" s="7" t="s">
        <v>3</v>
      </c>
      <c r="O1" s="11" t="s">
        <v>20</v>
      </c>
      <c r="P1" s="7" t="s">
        <v>19</v>
      </c>
      <c r="Q1" s="29" t="s">
        <v>12</v>
      </c>
      <c r="R1" s="12" t="s">
        <v>89</v>
      </c>
      <c r="T1" s="43" t="s">
        <v>14</v>
      </c>
      <c r="U1" s="44" t="s">
        <v>68</v>
      </c>
      <c r="V1" s="63" t="s">
        <v>69</v>
      </c>
      <c r="W1" s="44" t="s">
        <v>13</v>
      </c>
      <c r="X1" s="45" t="s">
        <v>70</v>
      </c>
      <c r="Z1" s="148" t="s">
        <v>65</v>
      </c>
      <c r="AA1" s="149"/>
      <c r="AB1" s="149"/>
      <c r="AC1" s="149"/>
      <c r="AD1" s="149"/>
      <c r="AE1" s="149"/>
      <c r="AF1" s="149"/>
      <c r="AG1" s="149"/>
      <c r="AH1" s="149"/>
      <c r="AI1" s="12">
        <f t="array" ref="AI1">INDEX(D2:D71,MATCH(MAX(COUNTIF(D2:D71,D2:D71)),COUNTIF(D2:D71,D2:D71),0))</f>
        <v>0</v>
      </c>
      <c r="AK1" s="148" t="s">
        <v>175</v>
      </c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50"/>
    </row>
    <row r="2" spans="1:50" ht="16.5" customHeight="1" thickTop="1" thickBot="1" x14ac:dyDescent="0.35">
      <c r="A2" s="48"/>
      <c r="B2" s="49"/>
      <c r="D2" s="118"/>
      <c r="E2" s="115" t="s">
        <v>16</v>
      </c>
      <c r="F2" s="21"/>
      <c r="G2" s="21"/>
      <c r="H2" s="22" t="e">
        <f>(F2*100)/G2</f>
        <v>#DIV/0!</v>
      </c>
      <c r="I2" s="67"/>
      <c r="J2" s="21">
        <f>F2*I2+IF(N2="Фрибет",(F2*I2-F2)-F2*I2)</f>
        <v>0</v>
      </c>
      <c r="K2" s="22" t="e">
        <f>((J2*100)/G2)</f>
        <v>#DIV/0!</v>
      </c>
      <c r="L2" s="68" t="e">
        <f>1-M2</f>
        <v>#DIV/0!</v>
      </c>
      <c r="M2" s="69" t="e">
        <f>1/I2</f>
        <v>#DIV/0!</v>
      </c>
      <c r="N2" s="5"/>
      <c r="O2" s="28"/>
      <c r="P2" s="18" t="s">
        <v>39</v>
      </c>
      <c r="Q2" s="30">
        <f>IF(P2="Победа",1)+IF(P2="Поражение",0)+IF(P2="Не ставил",-2)</f>
        <v>-2</v>
      </c>
      <c r="R2" s="37"/>
      <c r="T2" s="39">
        <f>COUNTIF(Q2:Q1048576,1)+COUNTIF(Q2:Q1048576, 0)</f>
        <v>0</v>
      </c>
      <c r="U2" s="61">
        <f>COUNTIF(Q2:Q1048576,1)</f>
        <v>0</v>
      </c>
      <c r="V2" s="62">
        <f>COUNTIF(Q2:Q1048576,0)</f>
        <v>0</v>
      </c>
      <c r="W2" s="40" t="e">
        <f>(SUMIF(Q2:Q1048576,"=1")+SUMIF(Q2:Q1048576,"=0")*100)/T2</f>
        <v>#DIV/0!</v>
      </c>
      <c r="X2" s="41" t="e">
        <f>1-W2</f>
        <v>#DIV/0!</v>
      </c>
      <c r="Z2" s="190" t="s">
        <v>5</v>
      </c>
      <c r="AA2" s="160" t="s">
        <v>2</v>
      </c>
      <c r="AB2" s="192" t="s">
        <v>10</v>
      </c>
      <c r="AC2" s="193"/>
      <c r="AD2" s="192" t="s">
        <v>6</v>
      </c>
      <c r="AE2" s="193"/>
      <c r="AF2" s="144" t="s">
        <v>4</v>
      </c>
      <c r="AG2" s="144" t="s">
        <v>64</v>
      </c>
      <c r="AH2" s="144" t="s">
        <v>63</v>
      </c>
      <c r="AI2" s="175" t="s">
        <v>66</v>
      </c>
      <c r="AK2" s="179" t="s">
        <v>84</v>
      </c>
      <c r="AL2" s="180"/>
      <c r="AM2" s="185" t="s">
        <v>85</v>
      </c>
      <c r="AN2" s="180"/>
      <c r="AO2" s="186" t="s">
        <v>86</v>
      </c>
      <c r="AP2" s="187"/>
      <c r="AQ2" s="185" t="s">
        <v>87</v>
      </c>
      <c r="AR2" s="180"/>
      <c r="AS2" s="156" t="s">
        <v>123</v>
      </c>
      <c r="AT2" s="157"/>
      <c r="AU2" s="160" t="s">
        <v>119</v>
      </c>
      <c r="AV2" s="144" t="s">
        <v>120</v>
      </c>
      <c r="AW2" s="144" t="s">
        <v>121</v>
      </c>
      <c r="AX2" s="146" t="s">
        <v>122</v>
      </c>
    </row>
    <row r="3" spans="1:50" x14ac:dyDescent="0.3">
      <c r="A3" s="50"/>
      <c r="B3" s="51"/>
      <c r="D3" s="119"/>
      <c r="E3" s="115" t="s">
        <v>16</v>
      </c>
      <c r="F3" s="23"/>
      <c r="G3" s="23"/>
      <c r="H3" s="24" t="e">
        <f t="shared" ref="H3:H25" si="0">(F3*100)/G3</f>
        <v>#DIV/0!</v>
      </c>
      <c r="I3" s="33"/>
      <c r="J3" s="21">
        <f t="shared" ref="J3:J66" si="1">F3*I3+IF(N3="Фрибет",(F3*I3-F3)-F3*I3)</f>
        <v>0</v>
      </c>
      <c r="K3" s="24" t="e">
        <f t="shared" ref="K3:K66" si="2">((J3*100)/G3)</f>
        <v>#DIV/0!</v>
      </c>
      <c r="L3" s="70" t="e">
        <f t="shared" ref="L3:L66" si="3">1-M3</f>
        <v>#DIV/0!</v>
      </c>
      <c r="M3" s="75" t="e">
        <f t="shared" ref="M3:M66" si="4">1/I3</f>
        <v>#DIV/0!</v>
      </c>
      <c r="N3" s="1"/>
      <c r="O3" s="28"/>
      <c r="P3" s="19" t="s">
        <v>39</v>
      </c>
      <c r="Q3" s="31">
        <f>IF(P3="Победа",1)+IF(P3="Поражение",0)+IF(P3="Не ставил",-2)</f>
        <v>-2</v>
      </c>
      <c r="R3" s="38"/>
      <c r="T3" s="3"/>
      <c r="Z3" s="191"/>
      <c r="AA3" s="161"/>
      <c r="AB3" s="194"/>
      <c r="AC3" s="195"/>
      <c r="AD3" s="194"/>
      <c r="AE3" s="195"/>
      <c r="AF3" s="145"/>
      <c r="AG3" s="145"/>
      <c r="AH3" s="145"/>
      <c r="AI3" s="176"/>
      <c r="AK3" s="181"/>
      <c r="AL3" s="159"/>
      <c r="AM3" s="158"/>
      <c r="AN3" s="159"/>
      <c r="AO3" s="188"/>
      <c r="AP3" s="189"/>
      <c r="AQ3" s="158"/>
      <c r="AR3" s="159"/>
      <c r="AS3" s="158"/>
      <c r="AT3" s="159"/>
      <c r="AU3" s="161"/>
      <c r="AV3" s="145"/>
      <c r="AW3" s="145"/>
      <c r="AX3" s="147"/>
    </row>
    <row r="4" spans="1:50" ht="15" thickBot="1" x14ac:dyDescent="0.35">
      <c r="A4" s="50"/>
      <c r="B4" s="51"/>
      <c r="D4" s="119"/>
      <c r="E4" s="115" t="s">
        <v>16</v>
      </c>
      <c r="F4" s="14"/>
      <c r="G4" s="14"/>
      <c r="H4" s="15" t="e">
        <f t="shared" si="0"/>
        <v>#DIV/0!</v>
      </c>
      <c r="I4" s="35"/>
      <c r="J4" s="21">
        <f t="shared" si="1"/>
        <v>0</v>
      </c>
      <c r="K4" s="15" t="e">
        <f t="shared" si="2"/>
        <v>#DIV/0!</v>
      </c>
      <c r="L4" s="71" t="e">
        <f t="shared" si="3"/>
        <v>#DIV/0!</v>
      </c>
      <c r="M4" s="76" t="e">
        <f t="shared" si="4"/>
        <v>#DIV/0!</v>
      </c>
      <c r="N4" s="16"/>
      <c r="O4" s="28"/>
      <c r="P4" s="19" t="s">
        <v>39</v>
      </c>
      <c r="Q4" s="30">
        <f t="shared" ref="Q4:Q67" si="5">IF(P4="Победа",1)+IF(P4="Поражение",0)+IF(P4="Не ставил",-2)</f>
        <v>-2</v>
      </c>
      <c r="R4" s="38"/>
      <c r="Z4" s="89" t="str">
        <f t="array" ref="Z4">INDEX(E2:E71,MATCH(MAX(COUNTIF(E2:E71,E2:E71)),COUNTIF(E2:E71,E2:E71),0))</f>
        <v>Моя</v>
      </c>
      <c r="AA4" s="57" t="e">
        <f>AVERAGE(F2:F1048576)</f>
        <v>#DIV/0!</v>
      </c>
      <c r="AB4" s="177" t="e">
        <f>AVERAGE(G2:G1048576)</f>
        <v>#DIV/0!</v>
      </c>
      <c r="AC4" s="178"/>
      <c r="AD4" s="183" t="e">
        <f>AVERAGEIF(H2:H1048576, "&gt;0")</f>
        <v>#DIV/0!</v>
      </c>
      <c r="AE4" s="184"/>
      <c r="AF4" s="111" t="e">
        <f>AVERAGE(I2:I1048576)</f>
        <v>#DIV/0!</v>
      </c>
      <c r="AG4" s="85" t="e">
        <f>AVERAGEIF(L2:L1048576,"&gt;0")</f>
        <v>#DIV/0!</v>
      </c>
      <c r="AH4" s="87">
        <f t="array" ref="AH4">INDEX(N2:N71,MATCH(MAX(COUNTIF(N2:N71,N2:N71)),COUNTIF(N2:N71,N2:N71),0))</f>
        <v>0</v>
      </c>
      <c r="AI4" s="88">
        <f t="array" ref="AI4">INDEX(O2:O71,MATCH(MAX(COUNTIF(O2:O71,O2:O71)),COUNTIF(O2:O71,O2:O71),0))</f>
        <v>0</v>
      </c>
      <c r="AK4" s="182">
        <f>MAX(F2:F1048576)</f>
        <v>0</v>
      </c>
      <c r="AL4" s="178"/>
      <c r="AM4" s="177">
        <f>MIN(F2:F1048576)</f>
        <v>0</v>
      </c>
      <c r="AN4" s="178"/>
      <c r="AO4" s="183">
        <f>MAX(I2:I1048576)</f>
        <v>0</v>
      </c>
      <c r="AP4" s="184"/>
      <c r="AQ4" s="183">
        <f>MIN(I2:I1048576)</f>
        <v>0</v>
      </c>
      <c r="AR4" s="184"/>
      <c r="AS4" s="177">
        <f>MAX(J2:J1048576)</f>
        <v>0</v>
      </c>
      <c r="AT4" s="178"/>
      <c r="AU4" s="58">
        <f t="array" ref="AU4">MAX(IF(P2:P71=Мастерская!E1,J2:J71))</f>
        <v>0</v>
      </c>
      <c r="AV4" s="58">
        <f t="array" ref="AV4">MIN(IF(P2:P71=Мастерская!E1,J2:J71))</f>
        <v>0</v>
      </c>
      <c r="AW4" s="58">
        <f t="array" ref="AW4">MAX(IF(P2:P71=Мастерская!E2,F2:F71))</f>
        <v>0</v>
      </c>
      <c r="AX4" s="66">
        <f t="array" ref="AX4">MIN(IF(P2:P71=Мастерская!E2,F2:F71))</f>
        <v>0</v>
      </c>
    </row>
    <row r="5" spans="1:50" x14ac:dyDescent="0.3">
      <c r="A5" s="50"/>
      <c r="B5" s="51"/>
      <c r="D5" s="119"/>
      <c r="E5" s="115" t="s">
        <v>16</v>
      </c>
      <c r="F5" s="23"/>
      <c r="G5" s="23"/>
      <c r="H5" s="24" t="e">
        <f t="shared" si="0"/>
        <v>#DIV/0!</v>
      </c>
      <c r="I5" s="33"/>
      <c r="J5" s="21">
        <f t="shared" si="1"/>
        <v>0</v>
      </c>
      <c r="K5" s="24" t="e">
        <f t="shared" si="2"/>
        <v>#DIV/0!</v>
      </c>
      <c r="L5" s="70" t="e">
        <f t="shared" si="3"/>
        <v>#DIV/0!</v>
      </c>
      <c r="M5" s="75" t="e">
        <f t="shared" si="4"/>
        <v>#DIV/0!</v>
      </c>
      <c r="N5" s="1"/>
      <c r="O5" s="28"/>
      <c r="P5" s="19" t="s">
        <v>39</v>
      </c>
      <c r="Q5" s="31">
        <f t="shared" si="5"/>
        <v>-2</v>
      </c>
      <c r="R5" s="38"/>
    </row>
    <row r="6" spans="1:50" ht="15" thickBot="1" x14ac:dyDescent="0.35">
      <c r="A6" s="50"/>
      <c r="B6" s="51"/>
      <c r="D6" s="119"/>
      <c r="E6" s="115" t="s">
        <v>16</v>
      </c>
      <c r="F6" s="23"/>
      <c r="G6" s="23"/>
      <c r="H6" s="24" t="e">
        <f t="shared" si="0"/>
        <v>#DIV/0!</v>
      </c>
      <c r="I6" s="33"/>
      <c r="J6" s="21">
        <f t="shared" si="1"/>
        <v>0</v>
      </c>
      <c r="K6" s="24" t="e">
        <f t="shared" si="2"/>
        <v>#DIV/0!</v>
      </c>
      <c r="L6" s="70" t="e">
        <f t="shared" si="3"/>
        <v>#DIV/0!</v>
      </c>
      <c r="M6" s="75" t="e">
        <f t="shared" si="4"/>
        <v>#DIV/0!</v>
      </c>
      <c r="N6" s="1"/>
      <c r="O6" s="28"/>
      <c r="P6" s="19" t="s">
        <v>39</v>
      </c>
      <c r="Q6" s="30">
        <f t="shared" si="5"/>
        <v>-2</v>
      </c>
      <c r="R6" s="38"/>
    </row>
    <row r="7" spans="1:50" ht="15.6" thickTop="1" thickBot="1" x14ac:dyDescent="0.35">
      <c r="A7" s="50"/>
      <c r="B7" s="51"/>
      <c r="D7" s="119"/>
      <c r="E7" s="115" t="s">
        <v>16</v>
      </c>
      <c r="F7" s="23"/>
      <c r="G7" s="23"/>
      <c r="H7" s="24" t="e">
        <f t="shared" si="0"/>
        <v>#DIV/0!</v>
      </c>
      <c r="I7" s="33"/>
      <c r="J7" s="21">
        <f t="shared" si="1"/>
        <v>0</v>
      </c>
      <c r="K7" s="24" t="e">
        <f t="shared" si="2"/>
        <v>#DIV/0!</v>
      </c>
      <c r="L7" s="70" t="e">
        <f t="shared" si="3"/>
        <v>#DIV/0!</v>
      </c>
      <c r="M7" s="75" t="e">
        <f t="shared" si="4"/>
        <v>#DIV/0!</v>
      </c>
      <c r="N7" s="1"/>
      <c r="O7" s="28"/>
      <c r="P7" s="19" t="s">
        <v>39</v>
      </c>
      <c r="Q7" s="31">
        <f t="shared" si="5"/>
        <v>-2</v>
      </c>
      <c r="R7" s="38"/>
      <c r="AO7" s="196" t="s">
        <v>90</v>
      </c>
      <c r="AP7" s="203"/>
      <c r="AQ7" s="203"/>
      <c r="AR7" s="203"/>
      <c r="AS7" s="203"/>
      <c r="AT7" s="197"/>
    </row>
    <row r="8" spans="1:50" ht="15" thickTop="1" x14ac:dyDescent="0.3">
      <c r="A8" s="50"/>
      <c r="B8" s="51"/>
      <c r="D8" s="119"/>
      <c r="E8" s="115" t="s">
        <v>16</v>
      </c>
      <c r="F8" s="23"/>
      <c r="G8" s="23"/>
      <c r="H8" s="24" t="e">
        <f t="shared" si="0"/>
        <v>#DIV/0!</v>
      </c>
      <c r="I8" s="33"/>
      <c r="J8" s="21">
        <f t="shared" si="1"/>
        <v>0</v>
      </c>
      <c r="K8" s="24" t="e">
        <f t="shared" si="2"/>
        <v>#DIV/0!</v>
      </c>
      <c r="L8" s="70" t="e">
        <f t="shared" si="3"/>
        <v>#DIV/0!</v>
      </c>
      <c r="M8" s="75" t="e">
        <f t="shared" si="4"/>
        <v>#DIV/0!</v>
      </c>
      <c r="N8" s="1"/>
      <c r="O8" s="28"/>
      <c r="P8" s="19" t="s">
        <v>39</v>
      </c>
      <c r="Q8" s="30">
        <f t="shared" si="5"/>
        <v>-2</v>
      </c>
      <c r="R8" s="38"/>
      <c r="AO8" s="166" t="s">
        <v>178</v>
      </c>
      <c r="AP8" s="167"/>
      <c r="AQ8" s="168" t="s">
        <v>17</v>
      </c>
      <c r="AR8" s="167"/>
      <c r="AS8" s="168" t="s">
        <v>40</v>
      </c>
      <c r="AT8" s="169"/>
    </row>
    <row r="9" spans="1:50" ht="15" thickBot="1" x14ac:dyDescent="0.35">
      <c r="A9" s="52"/>
      <c r="B9" s="51"/>
      <c r="D9" s="119"/>
      <c r="E9" s="115" t="s">
        <v>16</v>
      </c>
      <c r="F9" s="23"/>
      <c r="G9" s="23"/>
      <c r="H9" s="24" t="e">
        <f t="shared" si="0"/>
        <v>#DIV/0!</v>
      </c>
      <c r="I9" s="33"/>
      <c r="J9" s="21">
        <f t="shared" si="1"/>
        <v>0</v>
      </c>
      <c r="K9" s="24" t="e">
        <f t="shared" si="2"/>
        <v>#DIV/0!</v>
      </c>
      <c r="L9" s="70" t="e">
        <f t="shared" si="3"/>
        <v>#DIV/0!</v>
      </c>
      <c r="M9" s="75" t="e">
        <f t="shared" si="4"/>
        <v>#DIV/0!</v>
      </c>
      <c r="N9" s="1"/>
      <c r="O9" s="28"/>
      <c r="P9" s="19" t="s">
        <v>39</v>
      </c>
      <c r="Q9" s="31">
        <f t="shared" si="5"/>
        <v>-2</v>
      </c>
      <c r="R9" s="38"/>
      <c r="AO9" s="162">
        <f>COUNTIF(N2:N1048576, "Одинар")</f>
        <v>0</v>
      </c>
      <c r="AP9" s="163"/>
      <c r="AQ9" s="164">
        <f>COUNTIF(N2:N1048576, "Экспресс")</f>
        <v>0</v>
      </c>
      <c r="AR9" s="163"/>
      <c r="AS9" s="164">
        <f>COUNTIF(N2:N1048576, "Фрибет")</f>
        <v>0</v>
      </c>
      <c r="AT9" s="165"/>
    </row>
    <row r="10" spans="1:50" ht="15" thickBot="1" x14ac:dyDescent="0.35">
      <c r="A10" s="52"/>
      <c r="B10" s="51"/>
      <c r="D10" s="119"/>
      <c r="E10" s="115" t="s">
        <v>16</v>
      </c>
      <c r="F10" s="25"/>
      <c r="G10" s="25"/>
      <c r="H10" s="26" t="e">
        <f t="shared" si="0"/>
        <v>#DIV/0!</v>
      </c>
      <c r="I10" s="36"/>
      <c r="J10" s="21">
        <f t="shared" si="1"/>
        <v>0</v>
      </c>
      <c r="K10" s="26" t="e">
        <f t="shared" si="2"/>
        <v>#DIV/0!</v>
      </c>
      <c r="L10" s="72" t="e">
        <f t="shared" si="3"/>
        <v>#DIV/0!</v>
      </c>
      <c r="M10" s="77" t="e">
        <f t="shared" si="4"/>
        <v>#DIV/0!</v>
      </c>
      <c r="N10" s="4"/>
      <c r="O10" s="28"/>
      <c r="P10" s="19" t="s">
        <v>39</v>
      </c>
      <c r="Q10" s="30">
        <f t="shared" si="5"/>
        <v>-2</v>
      </c>
      <c r="R10" s="38"/>
    </row>
    <row r="11" spans="1:50" ht="15.6" thickTop="1" thickBot="1" x14ac:dyDescent="0.35">
      <c r="A11" s="50"/>
      <c r="B11" s="51"/>
      <c r="D11" s="119"/>
      <c r="E11" s="115" t="s">
        <v>16</v>
      </c>
      <c r="F11" s="23"/>
      <c r="G11" s="23"/>
      <c r="H11" s="24" t="e">
        <f t="shared" si="0"/>
        <v>#DIV/0!</v>
      </c>
      <c r="I11" s="33"/>
      <c r="J11" s="21">
        <f t="shared" si="1"/>
        <v>0</v>
      </c>
      <c r="K11" s="24" t="e">
        <f t="shared" si="2"/>
        <v>#DIV/0!</v>
      </c>
      <c r="L11" s="70" t="e">
        <f t="shared" si="3"/>
        <v>#DIV/0!</v>
      </c>
      <c r="M11" s="75" t="e">
        <f t="shared" si="4"/>
        <v>#DIV/0!</v>
      </c>
      <c r="N11" s="1"/>
      <c r="O11" s="28"/>
      <c r="P11" s="19" t="s">
        <v>39</v>
      </c>
      <c r="Q11" s="31">
        <f t="shared" si="5"/>
        <v>-2</v>
      </c>
      <c r="R11" s="38"/>
      <c r="AO11" s="200" t="s">
        <v>177</v>
      </c>
      <c r="AP11" s="201"/>
      <c r="AQ11" s="201"/>
      <c r="AR11" s="201"/>
      <c r="AS11" s="201"/>
      <c r="AT11" s="201"/>
      <c r="AU11" s="201"/>
      <c r="AV11" s="202"/>
    </row>
    <row r="12" spans="1:50" ht="15" thickTop="1" x14ac:dyDescent="0.3">
      <c r="A12" s="50"/>
      <c r="B12" s="51"/>
      <c r="D12" s="119"/>
      <c r="E12" s="115" t="s">
        <v>16</v>
      </c>
      <c r="F12" s="21"/>
      <c r="G12" s="21"/>
      <c r="H12" s="22" t="e">
        <f t="shared" si="0"/>
        <v>#DIV/0!</v>
      </c>
      <c r="I12" s="34"/>
      <c r="J12" s="21">
        <f t="shared" si="1"/>
        <v>0</v>
      </c>
      <c r="K12" s="22" t="e">
        <f t="shared" si="2"/>
        <v>#DIV/0!</v>
      </c>
      <c r="L12" s="68" t="e">
        <f t="shared" si="3"/>
        <v>#DIV/0!</v>
      </c>
      <c r="M12" s="69" t="e">
        <f t="shared" si="4"/>
        <v>#DIV/0!</v>
      </c>
      <c r="N12" s="5"/>
      <c r="O12" s="28"/>
      <c r="P12" s="19" t="s">
        <v>39</v>
      </c>
      <c r="Q12" s="30">
        <f t="shared" si="5"/>
        <v>-2</v>
      </c>
      <c r="R12" s="38"/>
      <c r="AO12" s="154" t="s">
        <v>33</v>
      </c>
      <c r="AP12" s="155"/>
      <c r="AQ12" s="155"/>
      <c r="AR12" s="96" t="s">
        <v>109</v>
      </c>
      <c r="AS12" s="96" t="s">
        <v>110</v>
      </c>
      <c r="AT12" s="155" t="s">
        <v>111</v>
      </c>
      <c r="AU12" s="155"/>
      <c r="AV12" s="91" t="s">
        <v>112</v>
      </c>
    </row>
    <row r="13" spans="1:50" ht="15" thickBot="1" x14ac:dyDescent="0.35">
      <c r="A13" s="50"/>
      <c r="B13" s="51"/>
      <c r="D13" s="119"/>
      <c r="E13" s="115" t="s">
        <v>16</v>
      </c>
      <c r="F13" s="23"/>
      <c r="G13" s="23"/>
      <c r="H13" s="24" t="e">
        <f t="shared" si="0"/>
        <v>#DIV/0!</v>
      </c>
      <c r="I13" s="33"/>
      <c r="J13" s="21">
        <f t="shared" si="1"/>
        <v>0</v>
      </c>
      <c r="K13" s="24" t="e">
        <f t="shared" si="2"/>
        <v>#DIV/0!</v>
      </c>
      <c r="L13" s="70" t="e">
        <f t="shared" si="3"/>
        <v>#DIV/0!</v>
      </c>
      <c r="M13" s="75" t="e">
        <f t="shared" si="4"/>
        <v>#DIV/0!</v>
      </c>
      <c r="N13" s="1"/>
      <c r="O13" s="28"/>
      <c r="P13" s="19" t="s">
        <v>39</v>
      </c>
      <c r="Q13" s="31">
        <f t="shared" si="5"/>
        <v>-2</v>
      </c>
      <c r="R13" s="38"/>
      <c r="AO13" s="173">
        <f>IF(AO12="Футбол - Лига Чемпионов УЕФА",Мастерская!J1, 0)+IF(AO12="Футбол - Лига Европы УЕФА",Мастерская!J2, 0)+IF(AO12="Футбол - Еврокубки. Другое",Мастерская!J3, 0)+IF(AO12="Футбол - Россия. РПЛ",Мастерская!J4, 0)+IF(AO12="Футбол - Кубок России",Мастерская!J5, 0)+IF(AO12="Футбол - Россия. ФНЛ",Мастерская!J6, 0)+IF(AO12="Футбол - Россия. ПФЛ",Мастерская!J7, 0)+IF(AO12="Футбол - Россия. Другое",Мастерская!J8, 0)+IF(AO12="Футбол - Англия. АПЛ",Мастерская!J9, 0)+IF(AO12="Футбол - Кубок Англии",Мастерская!J10, 0)+IF(AO12="Футбол - Англия. Кубок Лиги",Мастерская!J11, 0)+IF(AO12="Футбол - Англия. Чемпионшип",Мастерская!J12, 0)+IF(AO12="Футбол - Испания. Ла Лига",Мастерская!J13, 0)+IF(AO12="Футбол - Италия. Серия А",Мастерская!J14, 0)+IF(AO12="Футбол - Германия. Бундеслига",Мастерская!J15, 0)+IF(AO12="Футбол - Франция. Лига 1",Мастерская!J16, 0)+IF(AO12="Футбол - Португалия. Лига NOS",Мастерская!J17, 0)+IF(AO12="Футбол - Турция. Суперлига",Мастерская!J18, 0)+IF(AO12="Футбол - Нидерланды. Эредивизи",Мастерская!J19, 0)+IF(AO12="Футбол - Греция. Суперлига",Мастерская!J20, 0)+IF(AO12="Футбол - Украина. УПЛ",Мастерская!J21, 0)+IF(AO12="Футбол - Кубок Либертадорес",Мастерская!J22, 0)+IF(AO12="Футбол - США/Канада. MLS",Мастерская!J23, 0)+IF(AO12="Футбол - Бразилия. Сериа А",Мастерская!J24, 0)+IF(AO12="Футбол - Аргентина. Суперлига",Мастерская!J25, 0)+IF(AO12="Футбол - Китай. Суперлига",Мастерская!J26, 0)+IF(AO12="Футбол - Сборные. Чемпионат мира",Мастерская!J27, 0)+IF(AO12="Футбол - Сборные. Чемпионат Европы",Мастерская!J28, 0)+IF(AO12="Футбол - Сборные. Лига Наций",Мастерская!J29, 0)+IF(AO12="Футбол - Сборные. Кубок Америки",Мастерская!J30, 0)+IF(AO12="Футбол - Сборные. Кубок Азии",Мастерская!J31, 0)+IF(AO12="Футбол - Сборные. Кубок Африки",Мастерская!J32, 0)+IF(AO12="Футбол - Сборные. КОНКАКАФ",Мастерская!J33, 0)+IF(AO12="Футбол - Сборные.  Другое",Мастерская!J34, 0)+IF(AO12="Хоккей - КХЛ",Мастерская!J35, 0)+IF(AO12="Хоккей - НХЛ",Мастерская!J36, 0)+IF(AO12="Хоккей - Сборные. Чемпионат мира",Мастерская!J37, 0)+IF(AO12="Хоккей - Сборные. Евротур",Мастерская!J38, 0)+IF(AO12="Смешанные единоборства - UFC",Мастерская!J39, 0)+IF(AO12="Смешанные единоборства - Bellator",Мастерская!J40, 0)+IF(AO12="Смешанные единоборства - M-1",Мастерская!J41, 0)+IF(AO12="Смешанные единоборства - Fight Nights Global",Мастерская!J42, 0)+IF(AO12="Бокс - WBA",Мастерская!J43, 0)+IF(AO12="Бокс - WBC",Мастерская!J44, 0)+IF(AO12="Бокс - WBO",Мастерская!J45, 0)+IF(AO12="Бокс - IBF",Мастерская!J46, 0)+IF(AO12="Бокс - IBO",Мастерская!J47, 0)+IF(AO12="Теннис - Уимблдон. ATP",Мастерская!J48, 0)+IF(AO12="Теннис - Уимблдон. WTA",Мастерская!J49, 0)+IF(AO12="Теннис - Australian Open",Мастерская!J50, 0)+IF(AO12="Теннис - Франция. Ролан Гаррос",Мастерская!J51, 0)+IF(AO12="Теннис - US Open",Мастерская!J52, 0)+IF(AO12="Теннис - Кубок Федерации",Мастерская!J53, 0)+IF(AO12="Теннис - Кубок Дэвиса",Мастерская!J54, 0)+IF(AO12="Теннис - Кубок Кремля",Мастерская!J55, 0)+IF(AO12="Баскетбол - Сборные. Чемпионат мира",Мастерская!J56, 0)+IF(AO12="Баскетбол - Сборные. Чемпионат Европы",Мастерская!J57, 0)+IF(AO12="Баскетбол - Евролига",Мастерская!J58, 0)+IF(AO12="Баскетбол - Еврокубок",Мастерская!J59, 0)+IF(AO12="Баскетбол - Лига Чемпионов",Мастерская!J60, 0)+IF(AO12="Баскетбол - Россия. Единая Лига ВТБ",Мастерская!J61, 0)+IF(AO12="Баскетбол - США. NBA",Мастерская!J62, 0)+IF(AO12="Волейбол - Сборные. Чемпионат мира",Мастерская!J63, 0)+IF(AO12="Волейбол - Сборные. Кубок мира",Мастерская!J64, 0)+IF(AO12="Волейбол - Сборные. Всемирный Кубок Чемпионов",Мастерская!J65, 0)+IF(AO12="Волейбол - Сборные. Лига наций",Мастерская!J66, 0)+IF(AO12="Волейбол - Сборные. Чемпионат Европы",Мастерская!J67, 0)+IF(AO12="Волейбол - Евролига",Мастерская!J68, 0)+IF(AO12="Волейбол - Чемпионат России",Мастерская!J69, 0)+IF(AO12="Биатлон - Чемпионат мира",Мастерская!J70, 0)+IF(AO12="Биатлон - Чемпионат Европы",Мастерская!J71, 0)+IF(AO12="Биатлон - Кубок мира",Мастерская!J72, 0)+IF(AO12="Биатлон - Кубок IBU",Мастерская!J73, 0)+IF(AO12="Формула-1",Мастерская!J74, 0)+IF(AO12="Киберспорт - The International. Dota 2 Championships",Мастерская!J75, 0)+IF(AO12="Киберспорт - Другое",Мастерская!J76, 0)+IF(AO12="Мини-футбол - Сборные. Чемпионат мира",Мастерская!J77, 0)+IF(AO12="Мини-футбол - Сборные. Чемпионат Европы",Мастерская!J78, 0)+IF(AO12="Мини-футбол - Лига Чемпионов УЕФА",Мастерская!J79, 0)+IF(AO12="Мини-футбол - Россия. Суперлига",Мастерская!J80, 0)+IF(AO12="Мини-футбол - Бразилия. Лига футзала",Мастерская!J81, 0)+IF(AO12="Пляжный футбол - Сборные. Чемпионат мира",Мастерская!J82, 0)+IF(AO12="Пляжный футбол - Сборные. Межконтинентальный кубок",Мастерская!J83, 0)+IF(AO12="Пляжный футбол - Сборные. Кубок Европы",Мастерская!J84, 0)+IF(AO12="Пляжный футбол - Кубок европейских чемпионов",Мастерская!J85, 0)+IF(AO12="Пляжный футбол - Чемпионат России",Мастерская!J86, 0)+IF(AO12="Настольный теннис - Сборные. Чемпионат мира",Мастерская!J87, 0)+IF(AO12="Настольный теннис - Сборные. Чемпионат Европы",Мастерская!J88, 0)+IF(AO12="Хоккей с мячом - Сборные. Чемпионат мира",Мастерская!J89, 0)+IF(AO12="Хоккей с мячом - Россия. Суперлига",Мастерская!J90, 0)+IF(AO12="Гандбол",Мастерская!J91, 0)+IF(AO12="Снукер",Мастерская!J92, 0)+IF(AO12="Скачки",Мастерская!J93, 0)+IF(AO12="Американский футбол",Мастерская!J94, 0)+IF(AO12="Бейсбол",Мастерская!J95, 0)+IF(AO12="Водное поло",Мастерская!J96, 0)+IF(AO12="Лыжные гонки",Мастерская!J97, 0)+IF(AO12="Тяжёлая атлетика",Мастерская!J98, 0)+IF(AO12="Лёгкая атлетика",Мастерская!J99, 0)+IF(AO12="Регби",Мастерская!J100, 0)+IF(AO12="Пляжный волейбол",Мастерская!J101, 0)+IF(AO12="Кёрлинг",Мастерская!J102, 0)+IF(AO12="Гольф",Мастерская!J103, 0)+IF(AO12="Прыжки с трамплина",Мастерская!J104, 0)</f>
        <v>0</v>
      </c>
      <c r="AP13" s="174"/>
      <c r="AQ13" s="174"/>
      <c r="AR13" s="95">
        <f>SUM(Мастерская!J1:J34)</f>
        <v>0</v>
      </c>
      <c r="AS13" s="95">
        <f>SUM(Мастерская!J35:J38)</f>
        <v>0</v>
      </c>
      <c r="AT13" s="174">
        <f>SUM(Мастерская!J39:J42)</f>
        <v>0</v>
      </c>
      <c r="AU13" s="174"/>
      <c r="AV13" s="97">
        <f>SUM(Мастерская!J43:J47)</f>
        <v>0</v>
      </c>
    </row>
    <row r="14" spans="1:50" ht="15" thickTop="1" x14ac:dyDescent="0.3">
      <c r="A14" s="50"/>
      <c r="B14" s="51"/>
      <c r="D14" s="119"/>
      <c r="E14" s="115" t="s">
        <v>16</v>
      </c>
      <c r="F14" s="23"/>
      <c r="G14" s="23"/>
      <c r="H14" s="24" t="e">
        <f t="shared" si="0"/>
        <v>#DIV/0!</v>
      </c>
      <c r="I14" s="33"/>
      <c r="J14" s="21">
        <f t="shared" si="1"/>
        <v>0</v>
      </c>
      <c r="K14" s="24" t="e">
        <f t="shared" si="2"/>
        <v>#DIV/0!</v>
      </c>
      <c r="L14" s="70" t="e">
        <f t="shared" si="3"/>
        <v>#DIV/0!</v>
      </c>
      <c r="M14" s="75" t="e">
        <f t="shared" si="4"/>
        <v>#DIV/0!</v>
      </c>
      <c r="N14" s="1"/>
      <c r="O14" s="28"/>
      <c r="P14" s="19" t="s">
        <v>39</v>
      </c>
      <c r="Q14" s="30">
        <f t="shared" si="5"/>
        <v>-2</v>
      </c>
      <c r="R14" s="38"/>
      <c r="AO14" s="92" t="s">
        <v>113</v>
      </c>
      <c r="AP14" s="94" t="s">
        <v>114</v>
      </c>
      <c r="AQ14" s="94" t="s">
        <v>115</v>
      </c>
      <c r="AR14" s="94" t="s">
        <v>116</v>
      </c>
      <c r="AS14" s="94" t="s">
        <v>61</v>
      </c>
      <c r="AT14" s="94" t="s">
        <v>117</v>
      </c>
      <c r="AU14" s="94" t="s">
        <v>151</v>
      </c>
      <c r="AV14" s="98" t="s">
        <v>152</v>
      </c>
    </row>
    <row r="15" spans="1:50" ht="15" thickBot="1" x14ac:dyDescent="0.35">
      <c r="A15" s="50"/>
      <c r="B15" s="51"/>
      <c r="D15" s="119"/>
      <c r="E15" s="115" t="s">
        <v>16</v>
      </c>
      <c r="F15" s="23"/>
      <c r="G15" s="23"/>
      <c r="H15" s="24" t="e">
        <f t="shared" si="0"/>
        <v>#DIV/0!</v>
      </c>
      <c r="I15" s="33"/>
      <c r="J15" s="21">
        <f t="shared" si="1"/>
        <v>0</v>
      </c>
      <c r="K15" s="24" t="e">
        <f t="shared" si="2"/>
        <v>#DIV/0!</v>
      </c>
      <c r="L15" s="70" t="e">
        <f t="shared" si="3"/>
        <v>#DIV/0!</v>
      </c>
      <c r="M15" s="75" t="e">
        <f t="shared" si="4"/>
        <v>#DIV/0!</v>
      </c>
      <c r="N15" s="1"/>
      <c r="O15" s="28"/>
      <c r="P15" s="19" t="s">
        <v>39</v>
      </c>
      <c r="Q15" s="31">
        <f t="shared" si="5"/>
        <v>-2</v>
      </c>
      <c r="R15" s="38"/>
      <c r="AO15" s="93">
        <f>SUM(Мастерская!J48:J55)</f>
        <v>0</v>
      </c>
      <c r="AP15" s="95">
        <f>SUM(Мастерская!J56:J62)</f>
        <v>0</v>
      </c>
      <c r="AQ15" s="95">
        <f>SUM(Мастерская!J63:J69)</f>
        <v>0</v>
      </c>
      <c r="AR15" s="95">
        <f>SUM(Мастерская!J70:J73)</f>
        <v>0</v>
      </c>
      <c r="AS15" s="95">
        <f>Мастерская!J74</f>
        <v>0</v>
      </c>
      <c r="AT15" s="95">
        <f>SUM(Мастерская!J75:J76)</f>
        <v>0</v>
      </c>
      <c r="AU15" s="95">
        <f>SUM(Мастерская!J77:J81)</f>
        <v>0</v>
      </c>
      <c r="AV15" s="97">
        <f>SUM(Мастерская!J82:J86)</f>
        <v>0</v>
      </c>
    </row>
    <row r="16" spans="1:50" ht="15" thickTop="1" x14ac:dyDescent="0.3">
      <c r="A16" s="50"/>
      <c r="B16" s="51"/>
      <c r="D16" s="119"/>
      <c r="E16" s="115" t="s">
        <v>16</v>
      </c>
      <c r="F16" s="23"/>
      <c r="G16" s="23"/>
      <c r="H16" s="24" t="e">
        <f t="shared" si="0"/>
        <v>#DIV/0!</v>
      </c>
      <c r="I16" s="33"/>
      <c r="J16" s="21">
        <f t="shared" si="1"/>
        <v>0</v>
      </c>
      <c r="K16" s="24" t="e">
        <f t="shared" si="2"/>
        <v>#DIV/0!</v>
      </c>
      <c r="L16" s="70" t="e">
        <f t="shared" si="3"/>
        <v>#DIV/0!</v>
      </c>
      <c r="M16" s="75" t="e">
        <f t="shared" si="4"/>
        <v>#DIV/0!</v>
      </c>
      <c r="N16" s="1"/>
      <c r="O16" s="28"/>
      <c r="P16" s="19" t="s">
        <v>39</v>
      </c>
      <c r="Q16" s="30">
        <f t="shared" si="5"/>
        <v>-2</v>
      </c>
      <c r="R16" s="38"/>
      <c r="AO16" s="99" t="s">
        <v>145</v>
      </c>
      <c r="AP16" s="100" t="s">
        <v>154</v>
      </c>
      <c r="AQ16" s="100" t="s">
        <v>144</v>
      </c>
      <c r="AR16" s="100" t="s">
        <v>155</v>
      </c>
      <c r="AS16" s="100" t="s">
        <v>146</v>
      </c>
      <c r="AT16" s="100" t="s">
        <v>153</v>
      </c>
      <c r="AU16" s="100" t="s">
        <v>143</v>
      </c>
      <c r="AV16" s="101" t="s">
        <v>157</v>
      </c>
    </row>
    <row r="17" spans="1:48" ht="15" thickBot="1" x14ac:dyDescent="0.35">
      <c r="A17" s="50"/>
      <c r="B17" s="51"/>
      <c r="D17" s="119"/>
      <c r="E17" s="115" t="s">
        <v>16</v>
      </c>
      <c r="F17" s="23"/>
      <c r="G17" s="23"/>
      <c r="H17" s="24" t="e">
        <f t="shared" si="0"/>
        <v>#DIV/0!</v>
      </c>
      <c r="I17" s="33"/>
      <c r="J17" s="21">
        <f t="shared" si="1"/>
        <v>0</v>
      </c>
      <c r="K17" s="24" t="e">
        <f t="shared" si="2"/>
        <v>#DIV/0!</v>
      </c>
      <c r="L17" s="70" t="e">
        <f t="shared" si="3"/>
        <v>#DIV/0!</v>
      </c>
      <c r="M17" s="75" t="e">
        <f t="shared" si="4"/>
        <v>#DIV/0!</v>
      </c>
      <c r="N17" s="1"/>
      <c r="O17" s="28"/>
      <c r="P17" s="19" t="s">
        <v>39</v>
      </c>
      <c r="Q17" s="31">
        <f t="shared" si="5"/>
        <v>-2</v>
      </c>
      <c r="R17" s="38"/>
      <c r="AO17" s="102">
        <f>SUM(Мастерская!J87:J88)</f>
        <v>0</v>
      </c>
      <c r="AP17" s="103">
        <f>SUM(Мастерская!J89:J90)</f>
        <v>0</v>
      </c>
      <c r="AQ17" s="103">
        <f>Мастерская!J91</f>
        <v>0</v>
      </c>
      <c r="AR17" s="103">
        <f>Мастерская!J92</f>
        <v>0</v>
      </c>
      <c r="AS17" s="103">
        <f>Мастерская!J93</f>
        <v>0</v>
      </c>
      <c r="AT17" s="103">
        <f>Мастерская!J94</f>
        <v>0</v>
      </c>
      <c r="AU17" s="103">
        <f>Мастерская!J95</f>
        <v>0</v>
      </c>
      <c r="AV17" s="104">
        <f>Мастерская!J96</f>
        <v>0</v>
      </c>
    </row>
    <row r="18" spans="1:48" ht="15" thickTop="1" x14ac:dyDescent="0.3">
      <c r="A18" s="50"/>
      <c r="B18" s="51"/>
      <c r="D18" s="119"/>
      <c r="E18" s="115" t="s">
        <v>16</v>
      </c>
      <c r="F18" s="23"/>
      <c r="G18" s="23"/>
      <c r="H18" s="24" t="e">
        <f t="shared" si="0"/>
        <v>#DIV/0!</v>
      </c>
      <c r="I18" s="33"/>
      <c r="J18" s="21">
        <f t="shared" si="1"/>
        <v>0</v>
      </c>
      <c r="K18" s="24" t="e">
        <f t="shared" si="2"/>
        <v>#DIV/0!</v>
      </c>
      <c r="L18" s="70" t="e">
        <f t="shared" si="3"/>
        <v>#DIV/0!</v>
      </c>
      <c r="M18" s="75" t="e">
        <f t="shared" si="4"/>
        <v>#DIV/0!</v>
      </c>
      <c r="N18" s="1"/>
      <c r="O18" s="28"/>
      <c r="P18" s="19" t="s">
        <v>39</v>
      </c>
      <c r="Q18" s="30">
        <f t="shared" si="5"/>
        <v>-2</v>
      </c>
      <c r="R18" s="38"/>
      <c r="AO18" s="99" t="s">
        <v>156</v>
      </c>
      <c r="AP18" s="100" t="s">
        <v>159</v>
      </c>
      <c r="AQ18" s="100" t="s">
        <v>158</v>
      </c>
      <c r="AR18" s="100" t="s">
        <v>161</v>
      </c>
      <c r="AS18" s="100" t="s">
        <v>162</v>
      </c>
      <c r="AT18" s="100" t="s">
        <v>160</v>
      </c>
      <c r="AU18" s="100" t="s">
        <v>163</v>
      </c>
      <c r="AV18" s="101" t="s">
        <v>164</v>
      </c>
    </row>
    <row r="19" spans="1:48" ht="15" thickBot="1" x14ac:dyDescent="0.35">
      <c r="A19" s="50"/>
      <c r="B19" s="51"/>
      <c r="D19" s="119"/>
      <c r="E19" s="115" t="s">
        <v>16</v>
      </c>
      <c r="F19" s="23"/>
      <c r="G19" s="23"/>
      <c r="H19" s="24" t="e">
        <f t="shared" si="0"/>
        <v>#DIV/0!</v>
      </c>
      <c r="I19" s="33"/>
      <c r="J19" s="21">
        <f t="shared" si="1"/>
        <v>0</v>
      </c>
      <c r="K19" s="24" t="e">
        <f t="shared" si="2"/>
        <v>#DIV/0!</v>
      </c>
      <c r="L19" s="70" t="e">
        <f t="shared" si="3"/>
        <v>#DIV/0!</v>
      </c>
      <c r="M19" s="75" t="e">
        <f t="shared" si="4"/>
        <v>#DIV/0!</v>
      </c>
      <c r="N19" s="1"/>
      <c r="O19" s="28"/>
      <c r="P19" s="19" t="s">
        <v>39</v>
      </c>
      <c r="Q19" s="31">
        <f t="shared" si="5"/>
        <v>-2</v>
      </c>
      <c r="R19" s="38"/>
      <c r="AO19" s="105">
        <f>Мастерская!J97</f>
        <v>0</v>
      </c>
      <c r="AP19" s="106">
        <f>Мастерская!J98</f>
        <v>0</v>
      </c>
      <c r="AQ19" s="106">
        <f>Мастерская!J99</f>
        <v>0</v>
      </c>
      <c r="AR19" s="106">
        <f>Мастерская!J100</f>
        <v>0</v>
      </c>
      <c r="AS19" s="106">
        <f>Мастерская!J101</f>
        <v>0</v>
      </c>
      <c r="AT19" s="106">
        <f>Мастерская!J102</f>
        <v>0</v>
      </c>
      <c r="AU19" s="106">
        <f>Мастерская!J103</f>
        <v>0</v>
      </c>
      <c r="AV19" s="107">
        <f>Мастерская!J104</f>
        <v>0</v>
      </c>
    </row>
    <row r="20" spans="1:48" ht="15" thickBot="1" x14ac:dyDescent="0.35">
      <c r="A20" s="50"/>
      <c r="B20" s="51"/>
      <c r="D20" s="119"/>
      <c r="E20" s="115" t="s">
        <v>16</v>
      </c>
      <c r="F20" s="23"/>
      <c r="G20" s="23"/>
      <c r="H20" s="24" t="e">
        <f t="shared" si="0"/>
        <v>#DIV/0!</v>
      </c>
      <c r="I20" s="33"/>
      <c r="J20" s="21">
        <f t="shared" si="1"/>
        <v>0</v>
      </c>
      <c r="K20" s="24" t="e">
        <f t="shared" si="2"/>
        <v>#DIV/0!</v>
      </c>
      <c r="L20" s="70" t="e">
        <f t="shared" si="3"/>
        <v>#DIV/0!</v>
      </c>
      <c r="M20" s="75" t="e">
        <f t="shared" si="4"/>
        <v>#DIV/0!</v>
      </c>
      <c r="N20" s="1"/>
      <c r="O20" s="28"/>
      <c r="P20" s="19" t="s">
        <v>39</v>
      </c>
      <c r="Q20" s="30">
        <f t="shared" si="5"/>
        <v>-2</v>
      </c>
      <c r="R20" s="38"/>
    </row>
    <row r="21" spans="1:48" ht="15.6" thickTop="1" thickBot="1" x14ac:dyDescent="0.35">
      <c r="A21" s="50"/>
      <c r="B21" s="51"/>
      <c r="D21" s="119"/>
      <c r="E21" s="115" t="s">
        <v>16</v>
      </c>
      <c r="F21" s="23"/>
      <c r="G21" s="23"/>
      <c r="H21" s="24" t="e">
        <f t="shared" si="0"/>
        <v>#DIV/0!</v>
      </c>
      <c r="I21" s="33"/>
      <c r="J21" s="21">
        <f t="shared" si="1"/>
        <v>0</v>
      </c>
      <c r="K21" s="24" t="e">
        <f t="shared" si="2"/>
        <v>#DIV/0!</v>
      </c>
      <c r="L21" s="70" t="e">
        <f t="shared" si="3"/>
        <v>#DIV/0!</v>
      </c>
      <c r="M21" s="75" t="e">
        <f t="shared" si="4"/>
        <v>#DIV/0!</v>
      </c>
      <c r="N21" s="1"/>
      <c r="O21" s="28"/>
      <c r="P21" s="19" t="s">
        <v>39</v>
      </c>
      <c r="Q21" s="31">
        <f t="shared" si="5"/>
        <v>-2</v>
      </c>
      <c r="R21" s="38"/>
      <c r="AO21" s="170" t="s">
        <v>202</v>
      </c>
      <c r="AP21" s="171"/>
      <c r="AQ21" s="171"/>
      <c r="AR21" s="171"/>
      <c r="AS21" s="172"/>
    </row>
    <row r="22" spans="1:48" ht="16.5" customHeight="1" thickTop="1" x14ac:dyDescent="0.3">
      <c r="A22" s="50"/>
      <c r="B22" s="51"/>
      <c r="D22" s="119"/>
      <c r="E22" s="115" t="s">
        <v>16</v>
      </c>
      <c r="F22" s="23"/>
      <c r="G22" s="23"/>
      <c r="H22" s="24" t="e">
        <f t="shared" si="0"/>
        <v>#DIV/0!</v>
      </c>
      <c r="I22" s="33"/>
      <c r="J22" s="21">
        <f t="shared" si="1"/>
        <v>0</v>
      </c>
      <c r="K22" s="24" t="e">
        <f t="shared" si="2"/>
        <v>#DIV/0!</v>
      </c>
      <c r="L22" s="70" t="e">
        <f t="shared" si="3"/>
        <v>#DIV/0!</v>
      </c>
      <c r="M22" s="75" t="e">
        <f t="shared" si="4"/>
        <v>#DIV/0!</v>
      </c>
      <c r="N22" s="1"/>
      <c r="O22" s="28"/>
      <c r="P22" s="19" t="s">
        <v>39</v>
      </c>
      <c r="Q22" s="30">
        <f t="shared" si="5"/>
        <v>-2</v>
      </c>
      <c r="R22" s="38"/>
      <c r="T22" s="42"/>
      <c r="U22" s="42"/>
      <c r="V22" s="42"/>
      <c r="W22" s="42"/>
      <c r="X22" s="42"/>
      <c r="Y22" s="42"/>
      <c r="Z22" s="42"/>
      <c r="AA22" s="42"/>
      <c r="AB22" s="42"/>
      <c r="AO22" s="113" t="s">
        <v>180</v>
      </c>
      <c r="AP22" s="96" t="s">
        <v>181</v>
      </c>
      <c r="AQ22" s="96" t="s">
        <v>182</v>
      </c>
      <c r="AR22" s="112" t="s">
        <v>183</v>
      </c>
      <c r="AS22" s="91" t="s">
        <v>184</v>
      </c>
    </row>
    <row r="23" spans="1:48" ht="15.75" customHeight="1" thickBot="1" x14ac:dyDescent="0.35">
      <c r="A23" s="50"/>
      <c r="B23" s="51"/>
      <c r="D23" s="119"/>
      <c r="E23" s="115" t="s">
        <v>16</v>
      </c>
      <c r="F23" s="23"/>
      <c r="G23" s="23"/>
      <c r="H23" s="24" t="e">
        <f t="shared" si="0"/>
        <v>#DIV/0!</v>
      </c>
      <c r="I23" s="33"/>
      <c r="J23" s="21">
        <f t="shared" si="1"/>
        <v>0</v>
      </c>
      <c r="K23" s="24" t="e">
        <f t="shared" si="2"/>
        <v>#DIV/0!</v>
      </c>
      <c r="L23" s="70" t="e">
        <f t="shared" si="3"/>
        <v>#DIV/0!</v>
      </c>
      <c r="M23" s="75" t="e">
        <f t="shared" si="4"/>
        <v>#DIV/0!</v>
      </c>
      <c r="N23" s="1"/>
      <c r="O23" s="28"/>
      <c r="P23" s="19" t="s">
        <v>39</v>
      </c>
      <c r="Q23" s="31">
        <f t="shared" si="5"/>
        <v>-2</v>
      </c>
      <c r="R23" s="38"/>
      <c r="T23" s="42"/>
      <c r="U23" s="42"/>
      <c r="V23" s="42"/>
      <c r="W23" s="42"/>
      <c r="X23" s="42"/>
      <c r="Y23" s="42"/>
      <c r="Z23" s="42"/>
      <c r="AA23" s="42"/>
      <c r="AO23" s="93">
        <f>COUNTIF(D2:D1048576, "Победитель")</f>
        <v>0</v>
      </c>
      <c r="AP23" s="95">
        <f>COUNTIF(D2:D1048576, "Ничья")</f>
        <v>0</v>
      </c>
      <c r="AQ23" s="95">
        <f>COUNTIF(D2:D1048576, "Двойной шанс")</f>
        <v>0</v>
      </c>
      <c r="AR23" s="95">
        <f>COUNTIF(D2:D1048576, "Победитель (при ничьей - возврат)")</f>
        <v>0</v>
      </c>
      <c r="AS23" s="97">
        <f>COUNTIF(D2:D1048576, "Фора")</f>
        <v>0</v>
      </c>
    </row>
    <row r="24" spans="1:48" ht="15" customHeight="1" thickTop="1" thickBot="1" x14ac:dyDescent="0.35">
      <c r="A24" s="50"/>
      <c r="B24" s="51"/>
      <c r="D24" s="119"/>
      <c r="E24" s="115" t="s">
        <v>16</v>
      </c>
      <c r="F24" s="23"/>
      <c r="G24" s="23"/>
      <c r="H24" s="24" t="e">
        <f t="shared" si="0"/>
        <v>#DIV/0!</v>
      </c>
      <c r="I24" s="33"/>
      <c r="J24" s="21">
        <f t="shared" si="1"/>
        <v>0</v>
      </c>
      <c r="K24" s="24" t="e">
        <f t="shared" si="2"/>
        <v>#DIV/0!</v>
      </c>
      <c r="L24" s="70" t="e">
        <f t="shared" si="3"/>
        <v>#DIV/0!</v>
      </c>
      <c r="M24" s="75" t="e">
        <f t="shared" si="4"/>
        <v>#DIV/0!</v>
      </c>
      <c r="N24" s="1"/>
      <c r="O24" s="28"/>
      <c r="P24" s="19" t="s">
        <v>39</v>
      </c>
      <c r="Q24" s="30">
        <f t="shared" si="5"/>
        <v>-2</v>
      </c>
      <c r="R24" s="38"/>
      <c r="T24" s="42"/>
      <c r="U24" s="42"/>
      <c r="V24" s="42"/>
      <c r="W24" s="42"/>
      <c r="X24" s="42"/>
      <c r="Y24" s="42"/>
      <c r="Z24" s="42"/>
      <c r="AA24" s="42"/>
      <c r="AB24" s="42"/>
      <c r="AO24" s="92" t="s">
        <v>185</v>
      </c>
      <c r="AP24" s="94" t="s">
        <v>186</v>
      </c>
      <c r="AQ24" s="120" t="s">
        <v>187</v>
      </c>
      <c r="AR24" s="94" t="s">
        <v>189</v>
      </c>
      <c r="AS24" s="98" t="s">
        <v>190</v>
      </c>
    </row>
    <row r="25" spans="1:48" ht="15" customHeight="1" thickTop="1" thickBot="1" x14ac:dyDescent="0.35">
      <c r="A25" s="53"/>
      <c r="B25" s="54"/>
      <c r="D25" s="119"/>
      <c r="E25" s="115" t="s">
        <v>16</v>
      </c>
      <c r="F25" s="23"/>
      <c r="G25" s="23"/>
      <c r="H25" s="24" t="e">
        <f t="shared" si="0"/>
        <v>#DIV/0!</v>
      </c>
      <c r="I25" s="33"/>
      <c r="J25" s="21">
        <f t="shared" si="1"/>
        <v>0</v>
      </c>
      <c r="K25" s="24" t="e">
        <f t="shared" si="2"/>
        <v>#DIV/0!</v>
      </c>
      <c r="L25" s="70" t="e">
        <f t="shared" si="3"/>
        <v>#DIV/0!</v>
      </c>
      <c r="M25" s="75" t="e">
        <f t="shared" si="4"/>
        <v>#DIV/0!</v>
      </c>
      <c r="N25" s="1"/>
      <c r="O25" s="28"/>
      <c r="P25" s="19" t="s">
        <v>39</v>
      </c>
      <c r="Q25" s="31">
        <f t="shared" si="5"/>
        <v>-2</v>
      </c>
      <c r="R25" s="38"/>
      <c r="U25" s="59"/>
      <c r="W25" s="60"/>
      <c r="AL25" s="80" t="s">
        <v>242</v>
      </c>
      <c r="AM25" s="12" t="s">
        <v>243</v>
      </c>
      <c r="AO25" s="93">
        <f>COUNTIF(D2:D1048576, "Тотал")</f>
        <v>0</v>
      </c>
      <c r="AP25" s="95">
        <f>COUNTIF(D2:D1048576, "Точный счёт")</f>
        <v>0</v>
      </c>
      <c r="AQ25" s="95">
        <f>COUNTIF(D2:D1048576,"Точный счёт + исход ""Другой""")</f>
        <v>0</v>
      </c>
      <c r="AR25" s="95">
        <f>COUNTIF(D2:D1048576, "Кол-во голов")</f>
        <v>0</v>
      </c>
      <c r="AS25" s="97">
        <f>COUNTIF(D2:D1048576, "Инд. Тотал")</f>
        <v>0</v>
      </c>
    </row>
    <row r="26" spans="1:48" ht="15.75" customHeight="1" thickTop="1" thickBot="1" x14ac:dyDescent="0.35">
      <c r="A26" s="50"/>
      <c r="B26" s="51"/>
      <c r="D26" s="119"/>
      <c r="E26" s="115" t="s">
        <v>16</v>
      </c>
      <c r="F26" s="25"/>
      <c r="G26" s="25"/>
      <c r="H26" s="26" t="e">
        <f>(F26*100)/G26</f>
        <v>#DIV/0!</v>
      </c>
      <c r="I26" s="36"/>
      <c r="J26" s="21">
        <f t="shared" si="1"/>
        <v>0</v>
      </c>
      <c r="K26" s="26" t="e">
        <f t="shared" si="2"/>
        <v>#DIV/0!</v>
      </c>
      <c r="L26" s="72" t="e">
        <f t="shared" si="3"/>
        <v>#DIV/0!</v>
      </c>
      <c r="M26" s="77" t="e">
        <f t="shared" si="4"/>
        <v>#DIV/0!</v>
      </c>
      <c r="N26" s="4"/>
      <c r="O26" s="28"/>
      <c r="P26" s="19" t="s">
        <v>39</v>
      </c>
      <c r="Q26" s="30">
        <f t="shared" si="5"/>
        <v>-2</v>
      </c>
      <c r="R26" s="38"/>
      <c r="AL26" s="139">
        <f>SUM(A2:A71)</f>
        <v>0</v>
      </c>
      <c r="AM26" s="140">
        <f>SUM(B2:B71)</f>
        <v>0</v>
      </c>
      <c r="AO26" s="92" t="s">
        <v>191</v>
      </c>
      <c r="AP26" s="94" t="s">
        <v>192</v>
      </c>
      <c r="AQ26" s="94" t="s">
        <v>193</v>
      </c>
      <c r="AR26" s="94" t="s">
        <v>194</v>
      </c>
      <c r="AS26" s="98" t="s">
        <v>195</v>
      </c>
    </row>
    <row r="27" spans="1:48" ht="15.75" customHeight="1" thickTop="1" thickBot="1" x14ac:dyDescent="0.35">
      <c r="A27" s="50"/>
      <c r="B27" s="51"/>
      <c r="D27" s="119"/>
      <c r="E27" s="115" t="s">
        <v>16</v>
      </c>
      <c r="F27" s="23"/>
      <c r="G27" s="23"/>
      <c r="H27" s="24" t="e">
        <f t="shared" ref="H27:H71" si="6">(F27*100)/G27</f>
        <v>#DIV/0!</v>
      </c>
      <c r="I27" s="33"/>
      <c r="J27" s="21">
        <f t="shared" si="1"/>
        <v>0</v>
      </c>
      <c r="K27" s="24" t="e">
        <f t="shared" si="2"/>
        <v>#DIV/0!</v>
      </c>
      <c r="L27" s="70" t="e">
        <f t="shared" si="3"/>
        <v>#DIV/0!</v>
      </c>
      <c r="M27" s="75" t="e">
        <f t="shared" si="4"/>
        <v>#DIV/0!</v>
      </c>
      <c r="N27" s="1"/>
      <c r="O27" s="28"/>
      <c r="P27" s="19" t="s">
        <v>39</v>
      </c>
      <c r="Q27" s="31">
        <f t="shared" si="5"/>
        <v>-2</v>
      </c>
      <c r="R27" s="38"/>
      <c r="AL27" s="196" t="s">
        <v>244</v>
      </c>
      <c r="AM27" s="197"/>
      <c r="AO27" s="93">
        <f>COUNTIF(D2:D1048576, "Обе команды забьют")</f>
        <v>0</v>
      </c>
      <c r="AP27" s="95">
        <f>COUNTIF(D2:D1048576, "Сколько команд забьёт")</f>
        <v>0</v>
      </c>
      <c r="AQ27" s="95">
        <f>COUNTIF(D2:D1048576, "Кто забьёт 1-й гол")</f>
        <v>0</v>
      </c>
      <c r="AR27" s="95">
        <f>COUNTIF(D2:D1048576, "Кто забьёт последний гол")</f>
        <v>0</v>
      </c>
      <c r="AS27" s="97">
        <f>COUNTIF(D2:D1048576, "Наиболее результативный тайм")</f>
        <v>0</v>
      </c>
    </row>
    <row r="28" spans="1:48" ht="15.75" customHeight="1" thickTop="1" thickBot="1" x14ac:dyDescent="0.35">
      <c r="A28" s="50"/>
      <c r="B28" s="51"/>
      <c r="D28" s="119"/>
      <c r="E28" s="115" t="s">
        <v>16</v>
      </c>
      <c r="F28" s="23"/>
      <c r="G28" s="23"/>
      <c r="H28" s="24" t="e">
        <f t="shared" si="6"/>
        <v>#DIV/0!</v>
      </c>
      <c r="I28" s="33"/>
      <c r="J28" s="21">
        <f t="shared" si="1"/>
        <v>0</v>
      </c>
      <c r="K28" s="24" t="e">
        <f t="shared" si="2"/>
        <v>#DIV/0!</v>
      </c>
      <c r="L28" s="70" t="e">
        <f t="shared" si="3"/>
        <v>#DIV/0!</v>
      </c>
      <c r="M28" s="75" t="e">
        <f t="shared" si="4"/>
        <v>#DIV/0!</v>
      </c>
      <c r="N28" s="1"/>
      <c r="O28" s="28"/>
      <c r="P28" s="19" t="s">
        <v>39</v>
      </c>
      <c r="Q28" s="30">
        <f t="shared" si="5"/>
        <v>-2</v>
      </c>
      <c r="R28" s="38"/>
      <c r="AL28" s="198">
        <f>(AM26-AL26)</f>
        <v>0</v>
      </c>
      <c r="AM28" s="199"/>
      <c r="AO28" s="92" t="s">
        <v>196</v>
      </c>
      <c r="AP28" s="94" t="s">
        <v>197</v>
      </c>
      <c r="AQ28" s="94" t="s">
        <v>198</v>
      </c>
      <c r="AR28" s="94" t="s">
        <v>203</v>
      </c>
      <c r="AS28" s="98" t="s">
        <v>199</v>
      </c>
    </row>
    <row r="29" spans="1:48" ht="15.75" customHeight="1" thickBot="1" x14ac:dyDescent="0.35">
      <c r="A29" s="50"/>
      <c r="B29" s="51"/>
      <c r="D29" s="119"/>
      <c r="E29" s="115" t="s">
        <v>16</v>
      </c>
      <c r="F29" s="23"/>
      <c r="G29" s="23"/>
      <c r="H29" s="24" t="e">
        <f t="shared" si="6"/>
        <v>#DIV/0!</v>
      </c>
      <c r="I29" s="33"/>
      <c r="J29" s="21">
        <f t="shared" si="1"/>
        <v>0</v>
      </c>
      <c r="K29" s="24" t="e">
        <f t="shared" si="2"/>
        <v>#DIV/0!</v>
      </c>
      <c r="L29" s="70" t="e">
        <f t="shared" si="3"/>
        <v>#DIV/0!</v>
      </c>
      <c r="M29" s="75" t="e">
        <f t="shared" si="4"/>
        <v>#DIV/0!</v>
      </c>
      <c r="N29" s="1"/>
      <c r="O29" s="28"/>
      <c r="P29" s="19" t="s">
        <v>39</v>
      </c>
      <c r="Q29" s="31">
        <f t="shared" si="5"/>
        <v>-2</v>
      </c>
      <c r="R29" s="38"/>
      <c r="AO29" s="93">
        <f>COUNTIF(D2:D1048576, "Чет/нечет")</f>
        <v>0</v>
      </c>
      <c r="AP29" s="95">
        <f>COUNTIF(D2:D1048576, "Победитель + Разница мячей")</f>
        <v>0</v>
      </c>
      <c r="AQ29" s="95">
        <f>COUNTIF(D2:D1048576, "Победитель + Обе забьют")</f>
        <v>0</v>
      </c>
      <c r="AR29" s="95">
        <f>COUNTIF(D2:D1048576, "Победитель + Тотал")</f>
        <v>0</v>
      </c>
      <c r="AS29" s="97">
        <f>COUNTIF(D2:D1048576, "Автор гола")</f>
        <v>0</v>
      </c>
    </row>
    <row r="30" spans="1:48" ht="15.75" customHeight="1" thickTop="1" x14ac:dyDescent="0.3">
      <c r="A30" s="50"/>
      <c r="B30" s="51"/>
      <c r="D30" s="119"/>
      <c r="E30" s="115" t="s">
        <v>16</v>
      </c>
      <c r="F30" s="23"/>
      <c r="G30" s="23"/>
      <c r="H30" s="24" t="e">
        <f t="shared" si="6"/>
        <v>#DIV/0!</v>
      </c>
      <c r="I30" s="33"/>
      <c r="J30" s="21">
        <f t="shared" si="1"/>
        <v>0</v>
      </c>
      <c r="K30" s="24" t="e">
        <f t="shared" si="2"/>
        <v>#DIV/0!</v>
      </c>
      <c r="L30" s="70" t="e">
        <f t="shared" si="3"/>
        <v>#DIV/0!</v>
      </c>
      <c r="M30" s="75" t="e">
        <f t="shared" si="4"/>
        <v>#DIV/0!</v>
      </c>
      <c r="N30" s="1"/>
      <c r="O30" s="28"/>
      <c r="P30" s="19" t="s">
        <v>39</v>
      </c>
      <c r="Q30" s="30">
        <f t="shared" si="5"/>
        <v>-2</v>
      </c>
      <c r="R30" s="38"/>
      <c r="AO30" s="92" t="s">
        <v>200</v>
      </c>
      <c r="AP30" s="94" t="s">
        <v>201</v>
      </c>
      <c r="AQ30" s="94"/>
      <c r="AR30" s="94"/>
      <c r="AS30" s="98"/>
    </row>
    <row r="31" spans="1:48" ht="15.75" customHeight="1" thickBot="1" x14ac:dyDescent="0.35">
      <c r="A31" s="50"/>
      <c r="B31" s="54"/>
      <c r="D31" s="119"/>
      <c r="E31" s="115" t="s">
        <v>16</v>
      </c>
      <c r="F31" s="23"/>
      <c r="G31" s="23"/>
      <c r="H31" s="24" t="e">
        <f t="shared" si="6"/>
        <v>#DIV/0!</v>
      </c>
      <c r="I31" s="33"/>
      <c r="J31" s="21">
        <f t="shared" si="1"/>
        <v>0</v>
      </c>
      <c r="K31" s="24" t="e">
        <f t="shared" si="2"/>
        <v>#DIV/0!</v>
      </c>
      <c r="L31" s="70" t="e">
        <f t="shared" si="3"/>
        <v>#DIV/0!</v>
      </c>
      <c r="M31" s="75" t="e">
        <f t="shared" si="4"/>
        <v>#DIV/0!</v>
      </c>
      <c r="N31" s="1"/>
      <c r="O31" s="28"/>
      <c r="P31" s="19" t="s">
        <v>39</v>
      </c>
      <c r="Q31" s="31">
        <f t="shared" si="5"/>
        <v>-2</v>
      </c>
      <c r="R31" s="38"/>
      <c r="AO31" s="121">
        <f>COUNTIF(D2:D1048576, "Лучший бомбардир")</f>
        <v>0</v>
      </c>
      <c r="AP31" s="122">
        <f>COUNTIF(D2:D1048576, "Победитель турнира")</f>
        <v>0</v>
      </c>
      <c r="AQ31" s="122"/>
      <c r="AR31" s="122"/>
      <c r="AS31" s="123"/>
    </row>
    <row r="32" spans="1:48" ht="15.75" customHeight="1" x14ac:dyDescent="0.3">
      <c r="A32" s="55"/>
      <c r="B32" s="51"/>
      <c r="D32" s="119"/>
      <c r="E32" s="115" t="s">
        <v>16</v>
      </c>
      <c r="F32" s="23"/>
      <c r="G32" s="23"/>
      <c r="H32" s="24" t="e">
        <f t="shared" si="6"/>
        <v>#DIV/0!</v>
      </c>
      <c r="I32" s="33"/>
      <c r="J32" s="21">
        <f t="shared" si="1"/>
        <v>0</v>
      </c>
      <c r="K32" s="24" t="e">
        <f t="shared" si="2"/>
        <v>#DIV/0!</v>
      </c>
      <c r="L32" s="70" t="e">
        <f t="shared" si="3"/>
        <v>#DIV/0!</v>
      </c>
      <c r="M32" s="75" t="e">
        <f t="shared" si="4"/>
        <v>#DIV/0!</v>
      </c>
      <c r="N32" s="1"/>
      <c r="O32" s="28"/>
      <c r="P32" s="19" t="s">
        <v>39</v>
      </c>
      <c r="Q32" s="30">
        <f t="shared" si="5"/>
        <v>-2</v>
      </c>
      <c r="R32" s="38"/>
    </row>
    <row r="33" spans="1:18" ht="15" customHeight="1" x14ac:dyDescent="0.3">
      <c r="A33" s="50"/>
      <c r="B33" s="49"/>
      <c r="D33" s="119"/>
      <c r="E33" s="115" t="s">
        <v>16</v>
      </c>
      <c r="F33" s="23"/>
      <c r="G33" s="23"/>
      <c r="H33" s="24" t="e">
        <f t="shared" si="6"/>
        <v>#DIV/0!</v>
      </c>
      <c r="I33" s="33"/>
      <c r="J33" s="21">
        <f t="shared" si="1"/>
        <v>0</v>
      </c>
      <c r="K33" s="24" t="e">
        <f t="shared" si="2"/>
        <v>#DIV/0!</v>
      </c>
      <c r="L33" s="70" t="e">
        <f t="shared" si="3"/>
        <v>#DIV/0!</v>
      </c>
      <c r="M33" s="75" t="e">
        <f t="shared" si="4"/>
        <v>#DIV/0!</v>
      </c>
      <c r="N33" s="1"/>
      <c r="O33" s="28"/>
      <c r="P33" s="19" t="s">
        <v>39</v>
      </c>
      <c r="Q33" s="30">
        <f t="shared" si="5"/>
        <v>-2</v>
      </c>
      <c r="R33" s="38"/>
    </row>
    <row r="34" spans="1:18" ht="15" customHeight="1" x14ac:dyDescent="0.3">
      <c r="A34" s="50"/>
      <c r="B34" s="51"/>
      <c r="D34" s="119"/>
      <c r="E34" s="115" t="s">
        <v>16</v>
      </c>
      <c r="F34" s="23"/>
      <c r="G34" s="23"/>
      <c r="H34" s="24" t="e">
        <f t="shared" si="6"/>
        <v>#DIV/0!</v>
      </c>
      <c r="I34" s="33"/>
      <c r="J34" s="21">
        <f t="shared" si="1"/>
        <v>0</v>
      </c>
      <c r="K34" s="24" t="e">
        <f t="shared" si="2"/>
        <v>#DIV/0!</v>
      </c>
      <c r="L34" s="70" t="e">
        <f t="shared" si="3"/>
        <v>#DIV/0!</v>
      </c>
      <c r="M34" s="75" t="e">
        <f t="shared" si="4"/>
        <v>#DIV/0!</v>
      </c>
      <c r="N34" s="1"/>
      <c r="O34" s="28"/>
      <c r="P34" s="19" t="s">
        <v>39</v>
      </c>
      <c r="Q34" s="30">
        <f t="shared" si="5"/>
        <v>-2</v>
      </c>
      <c r="R34" s="38"/>
    </row>
    <row r="35" spans="1:18" ht="15" customHeight="1" x14ac:dyDescent="0.3">
      <c r="A35" s="50"/>
      <c r="B35" s="51"/>
      <c r="D35" s="119"/>
      <c r="E35" s="115" t="s">
        <v>16</v>
      </c>
      <c r="F35" s="23"/>
      <c r="G35" s="23"/>
      <c r="H35" s="24" t="e">
        <f t="shared" si="6"/>
        <v>#DIV/0!</v>
      </c>
      <c r="I35" s="33"/>
      <c r="J35" s="21">
        <f t="shared" si="1"/>
        <v>0</v>
      </c>
      <c r="K35" s="24" t="e">
        <f t="shared" si="2"/>
        <v>#DIV/0!</v>
      </c>
      <c r="L35" s="70" t="e">
        <f t="shared" si="3"/>
        <v>#DIV/0!</v>
      </c>
      <c r="M35" s="75" t="e">
        <f t="shared" si="4"/>
        <v>#DIV/0!</v>
      </c>
      <c r="N35" s="1"/>
      <c r="O35" s="28"/>
      <c r="P35" s="19" t="s">
        <v>39</v>
      </c>
      <c r="Q35" s="30">
        <f t="shared" si="5"/>
        <v>-2</v>
      </c>
      <c r="R35" s="38"/>
    </row>
    <row r="36" spans="1:18" ht="15" customHeight="1" x14ac:dyDescent="0.3">
      <c r="A36" s="50"/>
      <c r="B36" s="51"/>
      <c r="D36" s="119"/>
      <c r="E36" s="115" t="s">
        <v>16</v>
      </c>
      <c r="F36" s="23"/>
      <c r="G36" s="23"/>
      <c r="H36" s="24" t="e">
        <f t="shared" si="6"/>
        <v>#DIV/0!</v>
      </c>
      <c r="I36" s="33"/>
      <c r="J36" s="21">
        <f t="shared" si="1"/>
        <v>0</v>
      </c>
      <c r="K36" s="24" t="e">
        <f t="shared" si="2"/>
        <v>#DIV/0!</v>
      </c>
      <c r="L36" s="70" t="e">
        <f t="shared" si="3"/>
        <v>#DIV/0!</v>
      </c>
      <c r="M36" s="75" t="e">
        <f t="shared" si="4"/>
        <v>#DIV/0!</v>
      </c>
      <c r="N36" s="1"/>
      <c r="O36" s="28"/>
      <c r="P36" s="19" t="s">
        <v>39</v>
      </c>
      <c r="Q36" s="30">
        <f t="shared" si="5"/>
        <v>-2</v>
      </c>
      <c r="R36" s="38"/>
    </row>
    <row r="37" spans="1:18" ht="15" customHeight="1" x14ac:dyDescent="0.3">
      <c r="A37" s="50"/>
      <c r="B37" s="51"/>
      <c r="D37" s="119"/>
      <c r="E37" s="115" t="s">
        <v>16</v>
      </c>
      <c r="F37" s="23"/>
      <c r="G37" s="23"/>
      <c r="H37" s="24" t="e">
        <f t="shared" si="6"/>
        <v>#DIV/0!</v>
      </c>
      <c r="I37" s="33"/>
      <c r="J37" s="21">
        <f t="shared" si="1"/>
        <v>0</v>
      </c>
      <c r="K37" s="24" t="e">
        <f t="shared" si="2"/>
        <v>#DIV/0!</v>
      </c>
      <c r="L37" s="70" t="e">
        <f t="shared" si="3"/>
        <v>#DIV/0!</v>
      </c>
      <c r="M37" s="75" t="e">
        <f t="shared" si="4"/>
        <v>#DIV/0!</v>
      </c>
      <c r="N37" s="1"/>
      <c r="O37" s="28"/>
      <c r="P37" s="19" t="s">
        <v>39</v>
      </c>
      <c r="Q37" s="30">
        <f t="shared" si="5"/>
        <v>-2</v>
      </c>
      <c r="R37" s="38"/>
    </row>
    <row r="38" spans="1:18" ht="15" customHeight="1" x14ac:dyDescent="0.3">
      <c r="A38" s="50"/>
      <c r="B38" s="51"/>
      <c r="D38" s="119"/>
      <c r="E38" s="115" t="s">
        <v>16</v>
      </c>
      <c r="F38" s="23"/>
      <c r="G38" s="23"/>
      <c r="H38" s="24" t="e">
        <f t="shared" si="6"/>
        <v>#DIV/0!</v>
      </c>
      <c r="I38" s="33"/>
      <c r="J38" s="21">
        <f t="shared" si="1"/>
        <v>0</v>
      </c>
      <c r="K38" s="24" t="e">
        <f t="shared" si="2"/>
        <v>#DIV/0!</v>
      </c>
      <c r="L38" s="70" t="e">
        <f t="shared" si="3"/>
        <v>#DIV/0!</v>
      </c>
      <c r="M38" s="75" t="e">
        <f t="shared" si="4"/>
        <v>#DIV/0!</v>
      </c>
      <c r="N38" s="1"/>
      <c r="O38" s="28"/>
      <c r="P38" s="19" t="s">
        <v>39</v>
      </c>
      <c r="Q38" s="30">
        <f t="shared" si="5"/>
        <v>-2</v>
      </c>
      <c r="R38" s="38"/>
    </row>
    <row r="39" spans="1:18" ht="15" customHeight="1" x14ac:dyDescent="0.3">
      <c r="A39" s="50"/>
      <c r="B39" s="51"/>
      <c r="D39" s="119"/>
      <c r="E39" s="115" t="s">
        <v>16</v>
      </c>
      <c r="F39" s="23"/>
      <c r="G39" s="23"/>
      <c r="H39" s="24" t="e">
        <f t="shared" si="6"/>
        <v>#DIV/0!</v>
      </c>
      <c r="I39" s="33"/>
      <c r="J39" s="21">
        <f t="shared" si="1"/>
        <v>0</v>
      </c>
      <c r="K39" s="24" t="e">
        <f t="shared" si="2"/>
        <v>#DIV/0!</v>
      </c>
      <c r="L39" s="70" t="e">
        <f t="shared" si="3"/>
        <v>#DIV/0!</v>
      </c>
      <c r="M39" s="75" t="e">
        <f t="shared" si="4"/>
        <v>#DIV/0!</v>
      </c>
      <c r="N39" s="1"/>
      <c r="O39" s="28"/>
      <c r="P39" s="19" t="s">
        <v>39</v>
      </c>
      <c r="Q39" s="30">
        <f t="shared" si="5"/>
        <v>-2</v>
      </c>
      <c r="R39" s="38"/>
    </row>
    <row r="40" spans="1:18" ht="15" customHeight="1" x14ac:dyDescent="0.3">
      <c r="A40" s="50"/>
      <c r="B40" s="51"/>
      <c r="D40" s="119"/>
      <c r="E40" s="115" t="s">
        <v>16</v>
      </c>
      <c r="F40" s="23"/>
      <c r="G40" s="23"/>
      <c r="H40" s="24" t="e">
        <f t="shared" si="6"/>
        <v>#DIV/0!</v>
      </c>
      <c r="I40" s="33"/>
      <c r="J40" s="21">
        <f t="shared" si="1"/>
        <v>0</v>
      </c>
      <c r="K40" s="24" t="e">
        <f t="shared" si="2"/>
        <v>#DIV/0!</v>
      </c>
      <c r="L40" s="70" t="e">
        <f t="shared" si="3"/>
        <v>#DIV/0!</v>
      </c>
      <c r="M40" s="75" t="e">
        <f t="shared" si="4"/>
        <v>#DIV/0!</v>
      </c>
      <c r="N40" s="1"/>
      <c r="O40" s="28"/>
      <c r="P40" s="19" t="s">
        <v>39</v>
      </c>
      <c r="Q40" s="30">
        <f t="shared" si="5"/>
        <v>-2</v>
      </c>
      <c r="R40" s="38"/>
    </row>
    <row r="41" spans="1:18" ht="15" customHeight="1" x14ac:dyDescent="0.3">
      <c r="A41" s="50"/>
      <c r="B41" s="51"/>
      <c r="D41" s="119"/>
      <c r="E41" s="115" t="s">
        <v>16</v>
      </c>
      <c r="F41" s="23"/>
      <c r="G41" s="23"/>
      <c r="H41" s="24" t="e">
        <f t="shared" si="6"/>
        <v>#DIV/0!</v>
      </c>
      <c r="I41" s="33"/>
      <c r="J41" s="21">
        <f t="shared" si="1"/>
        <v>0</v>
      </c>
      <c r="K41" s="24" t="e">
        <f t="shared" si="2"/>
        <v>#DIV/0!</v>
      </c>
      <c r="L41" s="70" t="e">
        <f t="shared" si="3"/>
        <v>#DIV/0!</v>
      </c>
      <c r="M41" s="75" t="e">
        <f t="shared" si="4"/>
        <v>#DIV/0!</v>
      </c>
      <c r="N41" s="1"/>
      <c r="O41" s="28"/>
      <c r="P41" s="19" t="s">
        <v>39</v>
      </c>
      <c r="Q41" s="30">
        <f t="shared" si="5"/>
        <v>-2</v>
      </c>
      <c r="R41" s="38"/>
    </row>
    <row r="42" spans="1:18" ht="15" customHeight="1" x14ac:dyDescent="0.3">
      <c r="A42" s="50"/>
      <c r="B42" s="51"/>
      <c r="D42" s="119"/>
      <c r="E42" s="115" t="s">
        <v>16</v>
      </c>
      <c r="F42" s="23"/>
      <c r="G42" s="23"/>
      <c r="H42" s="24" t="e">
        <f t="shared" si="6"/>
        <v>#DIV/0!</v>
      </c>
      <c r="I42" s="33"/>
      <c r="J42" s="21">
        <f t="shared" si="1"/>
        <v>0</v>
      </c>
      <c r="K42" s="24" t="e">
        <f t="shared" si="2"/>
        <v>#DIV/0!</v>
      </c>
      <c r="L42" s="70" t="e">
        <f t="shared" si="3"/>
        <v>#DIV/0!</v>
      </c>
      <c r="M42" s="75" t="e">
        <f t="shared" si="4"/>
        <v>#DIV/0!</v>
      </c>
      <c r="N42" s="1"/>
      <c r="O42" s="28"/>
      <c r="P42" s="19" t="s">
        <v>39</v>
      </c>
      <c r="Q42" s="30">
        <f t="shared" si="5"/>
        <v>-2</v>
      </c>
      <c r="R42" s="38"/>
    </row>
    <row r="43" spans="1:18" ht="15" customHeight="1" x14ac:dyDescent="0.3">
      <c r="A43" s="50"/>
      <c r="B43" s="51"/>
      <c r="D43" s="119"/>
      <c r="E43" s="115" t="s">
        <v>16</v>
      </c>
      <c r="F43" s="23"/>
      <c r="G43" s="23"/>
      <c r="H43" s="24" t="e">
        <f t="shared" si="6"/>
        <v>#DIV/0!</v>
      </c>
      <c r="I43" s="33"/>
      <c r="J43" s="21">
        <f t="shared" si="1"/>
        <v>0</v>
      </c>
      <c r="K43" s="24" t="e">
        <f t="shared" si="2"/>
        <v>#DIV/0!</v>
      </c>
      <c r="L43" s="70" t="e">
        <f t="shared" si="3"/>
        <v>#DIV/0!</v>
      </c>
      <c r="M43" s="75" t="e">
        <f t="shared" si="4"/>
        <v>#DIV/0!</v>
      </c>
      <c r="N43" s="1"/>
      <c r="O43" s="28"/>
      <c r="P43" s="19" t="s">
        <v>39</v>
      </c>
      <c r="Q43" s="30">
        <f t="shared" si="5"/>
        <v>-2</v>
      </c>
      <c r="R43" s="38"/>
    </row>
    <row r="44" spans="1:18" ht="15" customHeight="1" x14ac:dyDescent="0.3">
      <c r="A44" s="50"/>
      <c r="B44" s="51"/>
      <c r="D44" s="119"/>
      <c r="E44" s="115" t="s">
        <v>16</v>
      </c>
      <c r="F44" s="23"/>
      <c r="G44" s="23"/>
      <c r="H44" s="24" t="e">
        <f t="shared" si="6"/>
        <v>#DIV/0!</v>
      </c>
      <c r="I44" s="33"/>
      <c r="J44" s="21">
        <f t="shared" si="1"/>
        <v>0</v>
      </c>
      <c r="K44" s="24" t="e">
        <f t="shared" si="2"/>
        <v>#DIV/0!</v>
      </c>
      <c r="L44" s="70" t="e">
        <f t="shared" si="3"/>
        <v>#DIV/0!</v>
      </c>
      <c r="M44" s="75" t="e">
        <f t="shared" si="4"/>
        <v>#DIV/0!</v>
      </c>
      <c r="N44" s="1"/>
      <c r="O44" s="28"/>
      <c r="P44" s="19" t="s">
        <v>39</v>
      </c>
      <c r="Q44" s="30">
        <f t="shared" si="5"/>
        <v>-2</v>
      </c>
      <c r="R44" s="38"/>
    </row>
    <row r="45" spans="1:18" x14ac:dyDescent="0.3">
      <c r="A45" s="50"/>
      <c r="B45" s="51"/>
      <c r="D45" s="119"/>
      <c r="E45" s="115" t="s">
        <v>16</v>
      </c>
      <c r="F45" s="23"/>
      <c r="G45" s="23"/>
      <c r="H45" s="24" t="e">
        <f t="shared" si="6"/>
        <v>#DIV/0!</v>
      </c>
      <c r="I45" s="33"/>
      <c r="J45" s="21">
        <f t="shared" si="1"/>
        <v>0</v>
      </c>
      <c r="K45" s="24" t="e">
        <f t="shared" si="2"/>
        <v>#DIV/0!</v>
      </c>
      <c r="L45" s="70" t="e">
        <f t="shared" si="3"/>
        <v>#DIV/0!</v>
      </c>
      <c r="M45" s="75" t="e">
        <f t="shared" si="4"/>
        <v>#DIV/0!</v>
      </c>
      <c r="N45" s="1"/>
      <c r="O45" s="28"/>
      <c r="P45" s="19" t="s">
        <v>39</v>
      </c>
      <c r="Q45" s="30">
        <f t="shared" si="5"/>
        <v>-2</v>
      </c>
      <c r="R45" s="38"/>
    </row>
    <row r="46" spans="1:18" x14ac:dyDescent="0.3">
      <c r="A46" s="50"/>
      <c r="B46" s="51"/>
      <c r="D46" s="119"/>
      <c r="E46" s="115" t="s">
        <v>16</v>
      </c>
      <c r="F46" s="23"/>
      <c r="G46" s="23"/>
      <c r="H46" s="24" t="e">
        <f t="shared" si="6"/>
        <v>#DIV/0!</v>
      </c>
      <c r="I46" s="33"/>
      <c r="J46" s="21">
        <f t="shared" si="1"/>
        <v>0</v>
      </c>
      <c r="K46" s="24" t="e">
        <f t="shared" si="2"/>
        <v>#DIV/0!</v>
      </c>
      <c r="L46" s="70" t="e">
        <f t="shared" si="3"/>
        <v>#DIV/0!</v>
      </c>
      <c r="M46" s="75" t="e">
        <f t="shared" si="4"/>
        <v>#DIV/0!</v>
      </c>
      <c r="N46" s="1"/>
      <c r="O46" s="28"/>
      <c r="P46" s="19" t="s">
        <v>39</v>
      </c>
      <c r="Q46" s="30">
        <f t="shared" si="5"/>
        <v>-2</v>
      </c>
      <c r="R46" s="38"/>
    </row>
    <row r="47" spans="1:18" x14ac:dyDescent="0.3">
      <c r="A47" s="50"/>
      <c r="B47" s="51"/>
      <c r="D47" s="119"/>
      <c r="E47" s="115" t="s">
        <v>16</v>
      </c>
      <c r="F47" s="23"/>
      <c r="G47" s="23"/>
      <c r="H47" s="24" t="e">
        <f t="shared" si="6"/>
        <v>#DIV/0!</v>
      </c>
      <c r="I47" s="33"/>
      <c r="J47" s="21">
        <f t="shared" si="1"/>
        <v>0</v>
      </c>
      <c r="K47" s="24" t="e">
        <f t="shared" si="2"/>
        <v>#DIV/0!</v>
      </c>
      <c r="L47" s="70" t="e">
        <f t="shared" si="3"/>
        <v>#DIV/0!</v>
      </c>
      <c r="M47" s="75" t="e">
        <f t="shared" si="4"/>
        <v>#DIV/0!</v>
      </c>
      <c r="N47" s="1"/>
      <c r="O47" s="28"/>
      <c r="P47" s="19" t="s">
        <v>39</v>
      </c>
      <c r="Q47" s="30">
        <f t="shared" si="5"/>
        <v>-2</v>
      </c>
      <c r="R47" s="38"/>
    </row>
    <row r="48" spans="1:18" x14ac:dyDescent="0.3">
      <c r="A48" s="50"/>
      <c r="B48" s="51"/>
      <c r="D48" s="119"/>
      <c r="E48" s="115" t="s">
        <v>16</v>
      </c>
      <c r="F48" s="23"/>
      <c r="G48" s="23"/>
      <c r="H48" s="24" t="e">
        <f t="shared" si="6"/>
        <v>#DIV/0!</v>
      </c>
      <c r="I48" s="33"/>
      <c r="J48" s="21">
        <f t="shared" si="1"/>
        <v>0</v>
      </c>
      <c r="K48" s="24" t="e">
        <f t="shared" si="2"/>
        <v>#DIV/0!</v>
      </c>
      <c r="L48" s="70" t="e">
        <f t="shared" si="3"/>
        <v>#DIV/0!</v>
      </c>
      <c r="M48" s="75" t="e">
        <f t="shared" si="4"/>
        <v>#DIV/0!</v>
      </c>
      <c r="N48" s="1"/>
      <c r="O48" s="28"/>
      <c r="P48" s="19" t="s">
        <v>39</v>
      </c>
      <c r="Q48" s="30">
        <f t="shared" si="5"/>
        <v>-2</v>
      </c>
      <c r="R48" s="38"/>
    </row>
    <row r="49" spans="1:18" x14ac:dyDescent="0.3">
      <c r="A49" s="53"/>
      <c r="B49" s="54"/>
      <c r="D49" s="119"/>
      <c r="E49" s="115" t="s">
        <v>16</v>
      </c>
      <c r="F49" s="23"/>
      <c r="G49" s="23"/>
      <c r="H49" s="24" t="e">
        <f t="shared" si="6"/>
        <v>#DIV/0!</v>
      </c>
      <c r="I49" s="33"/>
      <c r="J49" s="21">
        <f t="shared" si="1"/>
        <v>0</v>
      </c>
      <c r="K49" s="24" t="e">
        <f t="shared" si="2"/>
        <v>#DIV/0!</v>
      </c>
      <c r="L49" s="70" t="e">
        <f t="shared" si="3"/>
        <v>#DIV/0!</v>
      </c>
      <c r="M49" s="75" t="e">
        <f t="shared" si="4"/>
        <v>#DIV/0!</v>
      </c>
      <c r="N49" s="1"/>
      <c r="O49" s="28"/>
      <c r="P49" s="19" t="s">
        <v>39</v>
      </c>
      <c r="Q49" s="30">
        <f t="shared" si="5"/>
        <v>-2</v>
      </c>
      <c r="R49" s="38"/>
    </row>
    <row r="50" spans="1:18" x14ac:dyDescent="0.3">
      <c r="A50" s="50"/>
      <c r="B50" s="51"/>
      <c r="D50" s="119"/>
      <c r="E50" s="115" t="s">
        <v>16</v>
      </c>
      <c r="F50" s="23"/>
      <c r="G50" s="23"/>
      <c r="H50" s="24" t="e">
        <f t="shared" si="6"/>
        <v>#DIV/0!</v>
      </c>
      <c r="I50" s="33"/>
      <c r="J50" s="21">
        <f t="shared" si="1"/>
        <v>0</v>
      </c>
      <c r="K50" s="24" t="e">
        <f t="shared" si="2"/>
        <v>#DIV/0!</v>
      </c>
      <c r="L50" s="70" t="e">
        <f t="shared" si="3"/>
        <v>#DIV/0!</v>
      </c>
      <c r="M50" s="75" t="e">
        <f t="shared" si="4"/>
        <v>#DIV/0!</v>
      </c>
      <c r="N50" s="1"/>
      <c r="O50" s="28"/>
      <c r="P50" s="19" t="s">
        <v>39</v>
      </c>
      <c r="Q50" s="30">
        <f t="shared" si="5"/>
        <v>-2</v>
      </c>
      <c r="R50" s="38"/>
    </row>
    <row r="51" spans="1:18" x14ac:dyDescent="0.3">
      <c r="A51" s="48"/>
      <c r="B51" s="49"/>
      <c r="D51" s="119"/>
      <c r="E51" s="115" t="s">
        <v>16</v>
      </c>
      <c r="F51" s="23"/>
      <c r="G51" s="23"/>
      <c r="H51" s="24" t="e">
        <f t="shared" si="6"/>
        <v>#DIV/0!</v>
      </c>
      <c r="I51" s="33"/>
      <c r="J51" s="21">
        <f t="shared" si="1"/>
        <v>0</v>
      </c>
      <c r="K51" s="24" t="e">
        <f t="shared" si="2"/>
        <v>#DIV/0!</v>
      </c>
      <c r="L51" s="70" t="e">
        <f t="shared" si="3"/>
        <v>#DIV/0!</v>
      </c>
      <c r="M51" s="75" t="e">
        <f t="shared" si="4"/>
        <v>#DIV/0!</v>
      </c>
      <c r="N51" s="1"/>
      <c r="O51" s="28"/>
      <c r="P51" s="19" t="s">
        <v>39</v>
      </c>
      <c r="Q51" s="30">
        <f t="shared" si="5"/>
        <v>-2</v>
      </c>
      <c r="R51" s="38"/>
    </row>
    <row r="52" spans="1:18" x14ac:dyDescent="0.3">
      <c r="A52" s="64"/>
      <c r="B52" s="65"/>
      <c r="D52" s="119"/>
      <c r="E52" s="115" t="s">
        <v>16</v>
      </c>
      <c r="F52" s="23"/>
      <c r="G52" s="23"/>
      <c r="H52" s="24" t="e">
        <f t="shared" si="6"/>
        <v>#DIV/0!</v>
      </c>
      <c r="I52" s="33"/>
      <c r="J52" s="21">
        <f t="shared" si="1"/>
        <v>0</v>
      </c>
      <c r="K52" s="24" t="e">
        <f t="shared" si="2"/>
        <v>#DIV/0!</v>
      </c>
      <c r="L52" s="70" t="e">
        <f t="shared" si="3"/>
        <v>#DIV/0!</v>
      </c>
      <c r="M52" s="75" t="e">
        <f t="shared" si="4"/>
        <v>#DIV/0!</v>
      </c>
      <c r="N52" s="1"/>
      <c r="O52" s="28"/>
      <c r="P52" s="19" t="s">
        <v>39</v>
      </c>
      <c r="Q52" s="30">
        <f t="shared" si="5"/>
        <v>-2</v>
      </c>
      <c r="R52" s="38"/>
    </row>
    <row r="53" spans="1:18" x14ac:dyDescent="0.3">
      <c r="A53" s="64"/>
      <c r="B53" s="65"/>
      <c r="D53" s="119"/>
      <c r="E53" s="115" t="s">
        <v>16</v>
      </c>
      <c r="F53" s="23"/>
      <c r="G53" s="23"/>
      <c r="H53" s="24" t="e">
        <f t="shared" si="6"/>
        <v>#DIV/0!</v>
      </c>
      <c r="I53" s="33"/>
      <c r="J53" s="21">
        <f t="shared" si="1"/>
        <v>0</v>
      </c>
      <c r="K53" s="24" t="e">
        <f t="shared" si="2"/>
        <v>#DIV/0!</v>
      </c>
      <c r="L53" s="70" t="e">
        <f t="shared" si="3"/>
        <v>#DIV/0!</v>
      </c>
      <c r="M53" s="75" t="e">
        <f t="shared" si="4"/>
        <v>#DIV/0!</v>
      </c>
      <c r="N53" s="1"/>
      <c r="O53" s="28"/>
      <c r="P53" s="19" t="s">
        <v>39</v>
      </c>
      <c r="Q53" s="30">
        <f t="shared" si="5"/>
        <v>-2</v>
      </c>
      <c r="R53" s="38"/>
    </row>
    <row r="54" spans="1:18" x14ac:dyDescent="0.3">
      <c r="A54" s="64"/>
      <c r="B54" s="65"/>
      <c r="D54" s="119"/>
      <c r="E54" s="115" t="s">
        <v>16</v>
      </c>
      <c r="F54" s="23"/>
      <c r="G54" s="23"/>
      <c r="H54" s="24" t="e">
        <f t="shared" si="6"/>
        <v>#DIV/0!</v>
      </c>
      <c r="I54" s="33"/>
      <c r="J54" s="21">
        <f t="shared" si="1"/>
        <v>0</v>
      </c>
      <c r="K54" s="24" t="e">
        <f t="shared" si="2"/>
        <v>#DIV/0!</v>
      </c>
      <c r="L54" s="70" t="e">
        <f t="shared" si="3"/>
        <v>#DIV/0!</v>
      </c>
      <c r="M54" s="75" t="e">
        <f t="shared" si="4"/>
        <v>#DIV/0!</v>
      </c>
      <c r="N54" s="1"/>
      <c r="O54" s="28"/>
      <c r="P54" s="19" t="s">
        <v>39</v>
      </c>
      <c r="Q54" s="30">
        <f t="shared" si="5"/>
        <v>-2</v>
      </c>
      <c r="R54" s="38"/>
    </row>
    <row r="55" spans="1:18" x14ac:dyDescent="0.3">
      <c r="A55" s="64"/>
      <c r="B55" s="65"/>
      <c r="D55" s="119"/>
      <c r="E55" s="115" t="s">
        <v>16</v>
      </c>
      <c r="F55" s="23"/>
      <c r="G55" s="23"/>
      <c r="H55" s="24" t="e">
        <f t="shared" si="6"/>
        <v>#DIV/0!</v>
      </c>
      <c r="I55" s="33"/>
      <c r="J55" s="21">
        <f t="shared" si="1"/>
        <v>0</v>
      </c>
      <c r="K55" s="24" t="e">
        <f t="shared" si="2"/>
        <v>#DIV/0!</v>
      </c>
      <c r="L55" s="70" t="e">
        <f t="shared" si="3"/>
        <v>#DIV/0!</v>
      </c>
      <c r="M55" s="75" t="e">
        <f t="shared" si="4"/>
        <v>#DIV/0!</v>
      </c>
      <c r="N55" s="1"/>
      <c r="O55" s="28"/>
      <c r="P55" s="19" t="s">
        <v>39</v>
      </c>
      <c r="Q55" s="30">
        <f t="shared" si="5"/>
        <v>-2</v>
      </c>
      <c r="R55" s="38"/>
    </row>
    <row r="56" spans="1:18" x14ac:dyDescent="0.3">
      <c r="A56" s="64"/>
      <c r="B56" s="65"/>
      <c r="D56" s="119"/>
      <c r="E56" s="115" t="s">
        <v>16</v>
      </c>
      <c r="F56" s="23"/>
      <c r="G56" s="23"/>
      <c r="H56" s="24" t="e">
        <f t="shared" si="6"/>
        <v>#DIV/0!</v>
      </c>
      <c r="I56" s="33"/>
      <c r="J56" s="21">
        <f t="shared" si="1"/>
        <v>0</v>
      </c>
      <c r="K56" s="24" t="e">
        <f t="shared" si="2"/>
        <v>#DIV/0!</v>
      </c>
      <c r="L56" s="70" t="e">
        <f t="shared" si="3"/>
        <v>#DIV/0!</v>
      </c>
      <c r="M56" s="75" t="e">
        <f t="shared" si="4"/>
        <v>#DIV/0!</v>
      </c>
      <c r="N56" s="1"/>
      <c r="O56" s="28"/>
      <c r="P56" s="19" t="s">
        <v>39</v>
      </c>
      <c r="Q56" s="30">
        <f t="shared" si="5"/>
        <v>-2</v>
      </c>
      <c r="R56" s="38"/>
    </row>
    <row r="57" spans="1:18" x14ac:dyDescent="0.3">
      <c r="A57" s="64"/>
      <c r="B57" s="65"/>
      <c r="D57" s="119"/>
      <c r="E57" s="115" t="s">
        <v>16</v>
      </c>
      <c r="F57" s="23"/>
      <c r="G57" s="23"/>
      <c r="H57" s="24" t="e">
        <f t="shared" si="6"/>
        <v>#DIV/0!</v>
      </c>
      <c r="I57" s="33"/>
      <c r="J57" s="21">
        <f t="shared" si="1"/>
        <v>0</v>
      </c>
      <c r="K57" s="24" t="e">
        <f t="shared" si="2"/>
        <v>#DIV/0!</v>
      </c>
      <c r="L57" s="70" t="e">
        <f t="shared" si="3"/>
        <v>#DIV/0!</v>
      </c>
      <c r="M57" s="75" t="e">
        <f t="shared" si="4"/>
        <v>#DIV/0!</v>
      </c>
      <c r="N57" s="1"/>
      <c r="O57" s="28"/>
      <c r="P57" s="19" t="s">
        <v>39</v>
      </c>
      <c r="Q57" s="30">
        <f t="shared" si="5"/>
        <v>-2</v>
      </c>
      <c r="R57" s="38"/>
    </row>
    <row r="58" spans="1:18" x14ac:dyDescent="0.3">
      <c r="A58" s="64"/>
      <c r="B58" s="65"/>
      <c r="D58" s="119"/>
      <c r="E58" s="115" t="s">
        <v>16</v>
      </c>
      <c r="F58" s="23"/>
      <c r="G58" s="23"/>
      <c r="H58" s="24" t="e">
        <f t="shared" si="6"/>
        <v>#DIV/0!</v>
      </c>
      <c r="I58" s="33"/>
      <c r="J58" s="21">
        <f t="shared" si="1"/>
        <v>0</v>
      </c>
      <c r="K58" s="24" t="e">
        <f t="shared" si="2"/>
        <v>#DIV/0!</v>
      </c>
      <c r="L58" s="70" t="e">
        <f t="shared" si="3"/>
        <v>#DIV/0!</v>
      </c>
      <c r="M58" s="75" t="e">
        <f t="shared" si="4"/>
        <v>#DIV/0!</v>
      </c>
      <c r="N58" s="1"/>
      <c r="O58" s="28"/>
      <c r="P58" s="19" t="s">
        <v>39</v>
      </c>
      <c r="Q58" s="30">
        <f t="shared" si="5"/>
        <v>-2</v>
      </c>
      <c r="R58" s="38"/>
    </row>
    <row r="59" spans="1:18" x14ac:dyDescent="0.3">
      <c r="A59" s="64"/>
      <c r="B59" s="65"/>
      <c r="D59" s="119"/>
      <c r="E59" s="115" t="s">
        <v>16</v>
      </c>
      <c r="F59" s="23"/>
      <c r="G59" s="23"/>
      <c r="H59" s="24" t="e">
        <f t="shared" si="6"/>
        <v>#DIV/0!</v>
      </c>
      <c r="I59" s="33"/>
      <c r="J59" s="21">
        <f t="shared" si="1"/>
        <v>0</v>
      </c>
      <c r="K59" s="24" t="e">
        <f t="shared" si="2"/>
        <v>#DIV/0!</v>
      </c>
      <c r="L59" s="70" t="e">
        <f t="shared" si="3"/>
        <v>#DIV/0!</v>
      </c>
      <c r="M59" s="75" t="e">
        <f t="shared" si="4"/>
        <v>#DIV/0!</v>
      </c>
      <c r="N59" s="1"/>
      <c r="O59" s="28"/>
      <c r="P59" s="19" t="s">
        <v>39</v>
      </c>
      <c r="Q59" s="30">
        <f t="shared" si="5"/>
        <v>-2</v>
      </c>
      <c r="R59" s="38"/>
    </row>
    <row r="60" spans="1:18" x14ac:dyDescent="0.3">
      <c r="A60" s="64"/>
      <c r="B60" s="65"/>
      <c r="D60" s="119"/>
      <c r="E60" s="115" t="s">
        <v>16</v>
      </c>
      <c r="F60" s="23"/>
      <c r="G60" s="23"/>
      <c r="H60" s="24" t="e">
        <f t="shared" si="6"/>
        <v>#DIV/0!</v>
      </c>
      <c r="I60" s="33"/>
      <c r="J60" s="21">
        <f t="shared" si="1"/>
        <v>0</v>
      </c>
      <c r="K60" s="24" t="e">
        <f t="shared" si="2"/>
        <v>#DIV/0!</v>
      </c>
      <c r="L60" s="70" t="e">
        <f t="shared" si="3"/>
        <v>#DIV/0!</v>
      </c>
      <c r="M60" s="75" t="e">
        <f t="shared" si="4"/>
        <v>#DIV/0!</v>
      </c>
      <c r="N60" s="1"/>
      <c r="O60" s="28"/>
      <c r="P60" s="19" t="s">
        <v>39</v>
      </c>
      <c r="Q60" s="30">
        <f t="shared" si="5"/>
        <v>-2</v>
      </c>
      <c r="R60" s="38"/>
    </row>
    <row r="61" spans="1:18" x14ac:dyDescent="0.3">
      <c r="A61" s="64"/>
      <c r="B61" s="65"/>
      <c r="D61" s="119"/>
      <c r="E61" s="115" t="s">
        <v>16</v>
      </c>
      <c r="F61" s="23"/>
      <c r="G61" s="23"/>
      <c r="H61" s="24" t="e">
        <f t="shared" si="6"/>
        <v>#DIV/0!</v>
      </c>
      <c r="I61" s="33"/>
      <c r="J61" s="21">
        <f t="shared" si="1"/>
        <v>0</v>
      </c>
      <c r="K61" s="24" t="e">
        <f t="shared" si="2"/>
        <v>#DIV/0!</v>
      </c>
      <c r="L61" s="70" t="e">
        <f t="shared" si="3"/>
        <v>#DIV/0!</v>
      </c>
      <c r="M61" s="75" t="e">
        <f t="shared" si="4"/>
        <v>#DIV/0!</v>
      </c>
      <c r="N61" s="1"/>
      <c r="O61" s="28"/>
      <c r="P61" s="19" t="s">
        <v>39</v>
      </c>
      <c r="Q61" s="30">
        <f t="shared" si="5"/>
        <v>-2</v>
      </c>
      <c r="R61" s="38"/>
    </row>
    <row r="62" spans="1:18" x14ac:dyDescent="0.3">
      <c r="A62" s="64"/>
      <c r="B62" s="65"/>
      <c r="D62" s="119"/>
      <c r="E62" s="115" t="s">
        <v>16</v>
      </c>
      <c r="F62" s="23"/>
      <c r="G62" s="23"/>
      <c r="H62" s="24" t="e">
        <f t="shared" si="6"/>
        <v>#DIV/0!</v>
      </c>
      <c r="I62" s="33"/>
      <c r="J62" s="21">
        <f t="shared" si="1"/>
        <v>0</v>
      </c>
      <c r="K62" s="24" t="e">
        <f t="shared" si="2"/>
        <v>#DIV/0!</v>
      </c>
      <c r="L62" s="70" t="e">
        <f t="shared" si="3"/>
        <v>#DIV/0!</v>
      </c>
      <c r="M62" s="75" t="e">
        <f t="shared" si="4"/>
        <v>#DIV/0!</v>
      </c>
      <c r="N62" s="1"/>
      <c r="O62" s="28"/>
      <c r="P62" s="19" t="s">
        <v>39</v>
      </c>
      <c r="Q62" s="30">
        <f t="shared" si="5"/>
        <v>-2</v>
      </c>
      <c r="R62" s="38"/>
    </row>
    <row r="63" spans="1:18" x14ac:dyDescent="0.3">
      <c r="A63" s="64"/>
      <c r="B63" s="65"/>
      <c r="D63" s="119"/>
      <c r="E63" s="115" t="s">
        <v>16</v>
      </c>
      <c r="F63" s="23"/>
      <c r="G63" s="23"/>
      <c r="H63" s="24" t="e">
        <f t="shared" si="6"/>
        <v>#DIV/0!</v>
      </c>
      <c r="I63" s="33"/>
      <c r="J63" s="21">
        <f t="shared" si="1"/>
        <v>0</v>
      </c>
      <c r="K63" s="24" t="e">
        <f t="shared" si="2"/>
        <v>#DIV/0!</v>
      </c>
      <c r="L63" s="70" t="e">
        <f t="shared" si="3"/>
        <v>#DIV/0!</v>
      </c>
      <c r="M63" s="75" t="e">
        <f t="shared" si="4"/>
        <v>#DIV/0!</v>
      </c>
      <c r="N63" s="1"/>
      <c r="O63" s="28"/>
      <c r="P63" s="19" t="s">
        <v>39</v>
      </c>
      <c r="Q63" s="30">
        <f t="shared" si="5"/>
        <v>-2</v>
      </c>
      <c r="R63" s="38"/>
    </row>
    <row r="64" spans="1:18" x14ac:dyDescent="0.3">
      <c r="A64" s="64"/>
      <c r="B64" s="65"/>
      <c r="D64" s="119"/>
      <c r="E64" s="115" t="s">
        <v>16</v>
      </c>
      <c r="F64" s="23"/>
      <c r="G64" s="23"/>
      <c r="H64" s="24" t="e">
        <f t="shared" si="6"/>
        <v>#DIV/0!</v>
      </c>
      <c r="I64" s="33"/>
      <c r="J64" s="21">
        <f t="shared" si="1"/>
        <v>0</v>
      </c>
      <c r="K64" s="24" t="e">
        <f t="shared" si="2"/>
        <v>#DIV/0!</v>
      </c>
      <c r="L64" s="70" t="e">
        <f t="shared" si="3"/>
        <v>#DIV/0!</v>
      </c>
      <c r="M64" s="75" t="e">
        <f t="shared" si="4"/>
        <v>#DIV/0!</v>
      </c>
      <c r="N64" s="1"/>
      <c r="O64" s="28"/>
      <c r="P64" s="19" t="s">
        <v>39</v>
      </c>
      <c r="Q64" s="30">
        <f t="shared" si="5"/>
        <v>-2</v>
      </c>
      <c r="R64" s="38"/>
    </row>
    <row r="65" spans="1:18" x14ac:dyDescent="0.3">
      <c r="A65" s="64"/>
      <c r="B65" s="65"/>
      <c r="D65" s="119"/>
      <c r="E65" s="115" t="s">
        <v>16</v>
      </c>
      <c r="F65" s="23"/>
      <c r="G65" s="23"/>
      <c r="H65" s="24" t="e">
        <f t="shared" si="6"/>
        <v>#DIV/0!</v>
      </c>
      <c r="I65" s="33"/>
      <c r="J65" s="21">
        <f t="shared" si="1"/>
        <v>0</v>
      </c>
      <c r="K65" s="24" t="e">
        <f t="shared" si="2"/>
        <v>#DIV/0!</v>
      </c>
      <c r="L65" s="70" t="e">
        <f t="shared" si="3"/>
        <v>#DIV/0!</v>
      </c>
      <c r="M65" s="75" t="e">
        <f t="shared" si="4"/>
        <v>#DIV/0!</v>
      </c>
      <c r="N65" s="1"/>
      <c r="O65" s="28"/>
      <c r="P65" s="19" t="s">
        <v>39</v>
      </c>
      <c r="Q65" s="30">
        <f t="shared" si="5"/>
        <v>-2</v>
      </c>
      <c r="R65" s="38"/>
    </row>
    <row r="66" spans="1:18" x14ac:dyDescent="0.3">
      <c r="A66" s="64"/>
      <c r="B66" s="65"/>
      <c r="D66" s="119"/>
      <c r="E66" s="115" t="s">
        <v>16</v>
      </c>
      <c r="F66" s="23"/>
      <c r="G66" s="23"/>
      <c r="H66" s="24" t="e">
        <f t="shared" si="6"/>
        <v>#DIV/0!</v>
      </c>
      <c r="I66" s="33"/>
      <c r="J66" s="21">
        <f t="shared" si="1"/>
        <v>0</v>
      </c>
      <c r="K66" s="24" t="e">
        <f t="shared" si="2"/>
        <v>#DIV/0!</v>
      </c>
      <c r="L66" s="70" t="e">
        <f t="shared" si="3"/>
        <v>#DIV/0!</v>
      </c>
      <c r="M66" s="75" t="e">
        <f t="shared" si="4"/>
        <v>#DIV/0!</v>
      </c>
      <c r="N66" s="1"/>
      <c r="O66" s="28"/>
      <c r="P66" s="19" t="s">
        <v>39</v>
      </c>
      <c r="Q66" s="30">
        <f t="shared" si="5"/>
        <v>-2</v>
      </c>
      <c r="R66" s="38"/>
    </row>
    <row r="67" spans="1:18" x14ac:dyDescent="0.3">
      <c r="A67" s="64"/>
      <c r="B67" s="65"/>
      <c r="D67" s="119"/>
      <c r="E67" s="115" t="s">
        <v>16</v>
      </c>
      <c r="F67" s="23"/>
      <c r="G67" s="23"/>
      <c r="H67" s="24" t="e">
        <f t="shared" si="6"/>
        <v>#DIV/0!</v>
      </c>
      <c r="I67" s="33"/>
      <c r="J67" s="21">
        <f t="shared" ref="J67:J71" si="7">F67*I67+IF(N67="Фрибет",(F67*I67-F67)-F67*I67)</f>
        <v>0</v>
      </c>
      <c r="K67" s="24" t="e">
        <f t="shared" ref="K67:K71" si="8">((J67*100)/G67)</f>
        <v>#DIV/0!</v>
      </c>
      <c r="L67" s="70" t="e">
        <f t="shared" ref="L67:L71" si="9">1-M67</f>
        <v>#DIV/0!</v>
      </c>
      <c r="M67" s="75" t="e">
        <f t="shared" ref="M67:M71" si="10">1/I67</f>
        <v>#DIV/0!</v>
      </c>
      <c r="N67" s="1"/>
      <c r="O67" s="28"/>
      <c r="P67" s="19" t="s">
        <v>39</v>
      </c>
      <c r="Q67" s="30">
        <f t="shared" si="5"/>
        <v>-2</v>
      </c>
      <c r="R67" s="38"/>
    </row>
    <row r="68" spans="1:18" x14ac:dyDescent="0.3">
      <c r="A68" s="64"/>
      <c r="B68" s="65"/>
      <c r="D68" s="119"/>
      <c r="E68" s="115" t="s">
        <v>16</v>
      </c>
      <c r="F68" s="23"/>
      <c r="G68" s="23"/>
      <c r="H68" s="24" t="e">
        <f t="shared" si="6"/>
        <v>#DIV/0!</v>
      </c>
      <c r="I68" s="33"/>
      <c r="J68" s="21">
        <f t="shared" si="7"/>
        <v>0</v>
      </c>
      <c r="K68" s="24" t="e">
        <f t="shared" si="8"/>
        <v>#DIV/0!</v>
      </c>
      <c r="L68" s="70" t="e">
        <f t="shared" si="9"/>
        <v>#DIV/0!</v>
      </c>
      <c r="M68" s="75" t="e">
        <f t="shared" si="10"/>
        <v>#DIV/0!</v>
      </c>
      <c r="N68" s="1"/>
      <c r="O68" s="28"/>
      <c r="P68" s="19" t="s">
        <v>39</v>
      </c>
      <c r="Q68" s="30">
        <f t="shared" ref="Q68:Q71" si="11">IF(P68="Победа",1)+IF(P68="Поражение",0)+IF(P68="Не ставил",-2)</f>
        <v>-2</v>
      </c>
      <c r="R68" s="38"/>
    </row>
    <row r="69" spans="1:18" x14ac:dyDescent="0.3">
      <c r="A69" s="64"/>
      <c r="B69" s="65"/>
      <c r="D69" s="119"/>
      <c r="E69" s="115" t="s">
        <v>16</v>
      </c>
      <c r="F69" s="23"/>
      <c r="G69" s="23"/>
      <c r="H69" s="24" t="e">
        <f t="shared" si="6"/>
        <v>#DIV/0!</v>
      </c>
      <c r="I69" s="33"/>
      <c r="J69" s="21">
        <f t="shared" si="7"/>
        <v>0</v>
      </c>
      <c r="K69" s="24" t="e">
        <f t="shared" si="8"/>
        <v>#DIV/0!</v>
      </c>
      <c r="L69" s="70" t="e">
        <f t="shared" si="9"/>
        <v>#DIV/0!</v>
      </c>
      <c r="M69" s="75" t="e">
        <f t="shared" si="10"/>
        <v>#DIV/0!</v>
      </c>
      <c r="N69" s="1"/>
      <c r="O69" s="28"/>
      <c r="P69" s="19" t="s">
        <v>39</v>
      </c>
      <c r="Q69" s="30">
        <f t="shared" si="11"/>
        <v>-2</v>
      </c>
      <c r="R69" s="38"/>
    </row>
    <row r="70" spans="1:18" x14ac:dyDescent="0.3">
      <c r="A70" s="64"/>
      <c r="B70" s="65"/>
      <c r="D70" s="119"/>
      <c r="E70" s="115" t="s">
        <v>16</v>
      </c>
      <c r="F70" s="23"/>
      <c r="G70" s="23"/>
      <c r="H70" s="24" t="e">
        <f t="shared" si="6"/>
        <v>#DIV/0!</v>
      </c>
      <c r="I70" s="33"/>
      <c r="J70" s="21">
        <f t="shared" si="7"/>
        <v>0</v>
      </c>
      <c r="K70" s="24" t="e">
        <f t="shared" si="8"/>
        <v>#DIV/0!</v>
      </c>
      <c r="L70" s="70" t="e">
        <f t="shared" si="9"/>
        <v>#DIV/0!</v>
      </c>
      <c r="M70" s="75" t="e">
        <f t="shared" si="10"/>
        <v>#DIV/0!</v>
      </c>
      <c r="N70" s="1"/>
      <c r="O70" s="28"/>
      <c r="P70" s="19" t="s">
        <v>39</v>
      </c>
      <c r="Q70" s="30">
        <f t="shared" si="11"/>
        <v>-2</v>
      </c>
      <c r="R70" s="38"/>
    </row>
    <row r="71" spans="1:18" ht="15" thickBot="1" x14ac:dyDescent="0.35">
      <c r="A71" s="56"/>
      <c r="B71" s="66"/>
      <c r="D71" s="119"/>
      <c r="E71" s="115" t="s">
        <v>16</v>
      </c>
      <c r="F71" s="23"/>
      <c r="G71" s="23"/>
      <c r="H71" s="24" t="e">
        <f t="shared" si="6"/>
        <v>#DIV/0!</v>
      </c>
      <c r="I71" s="33"/>
      <c r="J71" s="21">
        <f t="shared" si="7"/>
        <v>0</v>
      </c>
      <c r="K71" s="24" t="e">
        <f t="shared" si="8"/>
        <v>#DIV/0!</v>
      </c>
      <c r="L71" s="70" t="e">
        <f t="shared" si="9"/>
        <v>#DIV/0!</v>
      </c>
      <c r="M71" s="75" t="e">
        <f t="shared" si="10"/>
        <v>#DIV/0!</v>
      </c>
      <c r="N71" s="1"/>
      <c r="O71" s="28"/>
      <c r="P71" s="19" t="s">
        <v>39</v>
      </c>
      <c r="Q71" s="30">
        <f t="shared" si="11"/>
        <v>-2</v>
      </c>
      <c r="R71" s="38"/>
    </row>
    <row r="72" spans="1:18" x14ac:dyDescent="0.3">
      <c r="E72"/>
      <c r="F72"/>
      <c r="G72"/>
      <c r="H72"/>
      <c r="I72"/>
      <c r="J72"/>
      <c r="K72"/>
      <c r="L72" s="73"/>
      <c r="M72" s="78"/>
      <c r="O72"/>
      <c r="P72"/>
      <c r="Q72"/>
      <c r="R72"/>
    </row>
    <row r="73" spans="1:18" x14ac:dyDescent="0.3">
      <c r="E73"/>
      <c r="F73"/>
      <c r="G73"/>
      <c r="H73"/>
      <c r="I73"/>
      <c r="J73"/>
      <c r="K73"/>
      <c r="L73" s="73"/>
      <c r="M73" s="78"/>
      <c r="O73"/>
      <c r="P73"/>
      <c r="Q73"/>
      <c r="R73"/>
    </row>
    <row r="74" spans="1:18" x14ac:dyDescent="0.3">
      <c r="E74"/>
      <c r="F74"/>
      <c r="G74"/>
      <c r="H74"/>
      <c r="I74"/>
      <c r="J74"/>
      <c r="K74"/>
      <c r="L74" s="73"/>
      <c r="M74" s="78"/>
      <c r="O74"/>
      <c r="P74"/>
      <c r="Q74"/>
      <c r="R74"/>
    </row>
    <row r="75" spans="1:18" x14ac:dyDescent="0.3">
      <c r="E75"/>
      <c r="F75"/>
      <c r="G75"/>
      <c r="H75"/>
      <c r="I75"/>
      <c r="J75"/>
      <c r="K75"/>
      <c r="L75" s="73"/>
      <c r="M75" s="78"/>
      <c r="O75"/>
      <c r="P75"/>
      <c r="Q75"/>
      <c r="R75"/>
    </row>
    <row r="76" spans="1:18" x14ac:dyDescent="0.3">
      <c r="E76"/>
      <c r="F76"/>
      <c r="G76"/>
      <c r="H76"/>
      <c r="I76"/>
      <c r="J76"/>
      <c r="K76"/>
      <c r="L76" s="73"/>
      <c r="M76" s="78"/>
      <c r="O76"/>
      <c r="P76"/>
      <c r="Q76"/>
      <c r="R76"/>
    </row>
    <row r="77" spans="1:18" x14ac:dyDescent="0.3">
      <c r="E77"/>
      <c r="F77"/>
      <c r="G77"/>
      <c r="H77"/>
      <c r="I77"/>
      <c r="J77"/>
      <c r="K77"/>
      <c r="L77" s="73"/>
      <c r="M77" s="78"/>
      <c r="O77"/>
      <c r="P77"/>
      <c r="Q77"/>
      <c r="R77"/>
    </row>
    <row r="78" spans="1:18" x14ac:dyDescent="0.3">
      <c r="E78"/>
      <c r="F78"/>
      <c r="G78"/>
      <c r="H78"/>
      <c r="I78"/>
      <c r="J78"/>
      <c r="K78"/>
      <c r="L78" s="73"/>
      <c r="M78" s="78"/>
      <c r="O78"/>
      <c r="P78"/>
      <c r="Q78"/>
      <c r="R78"/>
    </row>
    <row r="79" spans="1:18" x14ac:dyDescent="0.3">
      <c r="E79"/>
      <c r="F79"/>
      <c r="G79"/>
      <c r="H79"/>
      <c r="I79"/>
      <c r="J79"/>
      <c r="K79"/>
      <c r="L79" s="73"/>
      <c r="M79" s="78"/>
      <c r="O79"/>
      <c r="P79"/>
      <c r="Q79"/>
      <c r="R79"/>
    </row>
    <row r="80" spans="1:18" x14ac:dyDescent="0.3">
      <c r="E80"/>
      <c r="F80"/>
      <c r="G80"/>
      <c r="H80"/>
      <c r="I80"/>
      <c r="J80"/>
      <c r="K80"/>
      <c r="L80" s="73"/>
      <c r="M80" s="78"/>
      <c r="O80"/>
      <c r="P80"/>
      <c r="Q80"/>
      <c r="R80"/>
    </row>
    <row r="81" spans="12:13" customFormat="1" x14ac:dyDescent="0.3">
      <c r="L81" s="73"/>
      <c r="M81" s="78"/>
    </row>
    <row r="82" spans="12:13" customFormat="1" x14ac:dyDescent="0.3">
      <c r="L82" s="73"/>
      <c r="M82" s="78"/>
    </row>
    <row r="83" spans="12:13" customFormat="1" x14ac:dyDescent="0.3">
      <c r="L83" s="73"/>
      <c r="M83" s="78"/>
    </row>
    <row r="84" spans="12:13" customFormat="1" x14ac:dyDescent="0.3">
      <c r="L84" s="73"/>
      <c r="M84" s="78"/>
    </row>
    <row r="85" spans="12:13" customFormat="1" x14ac:dyDescent="0.3">
      <c r="L85" s="73"/>
      <c r="M85" s="78"/>
    </row>
    <row r="86" spans="12:13" customFormat="1" x14ac:dyDescent="0.3">
      <c r="L86" s="73"/>
      <c r="M86" s="78"/>
    </row>
    <row r="87" spans="12:13" customFormat="1" x14ac:dyDescent="0.3">
      <c r="L87" s="73"/>
      <c r="M87" s="78"/>
    </row>
    <row r="88" spans="12:13" customFormat="1" x14ac:dyDescent="0.3">
      <c r="L88" s="73"/>
      <c r="M88" s="78"/>
    </row>
    <row r="89" spans="12:13" customFormat="1" x14ac:dyDescent="0.3">
      <c r="L89" s="73"/>
      <c r="M89" s="78"/>
    </row>
    <row r="90" spans="12:13" customFormat="1" x14ac:dyDescent="0.3">
      <c r="L90" s="73"/>
      <c r="M90" s="78"/>
    </row>
    <row r="91" spans="12:13" customFormat="1" x14ac:dyDescent="0.3">
      <c r="L91" s="73"/>
      <c r="M91" s="78"/>
    </row>
    <row r="92" spans="12:13" customFormat="1" x14ac:dyDescent="0.3">
      <c r="L92" s="73"/>
      <c r="M92" s="78"/>
    </row>
    <row r="93" spans="12:13" customFormat="1" x14ac:dyDescent="0.3">
      <c r="L93" s="73"/>
      <c r="M93" s="78"/>
    </row>
    <row r="94" spans="12:13" customFormat="1" x14ac:dyDescent="0.3">
      <c r="L94" s="73"/>
      <c r="M94" s="78"/>
    </row>
    <row r="95" spans="12:13" customFormat="1" x14ac:dyDescent="0.3">
      <c r="L95" s="73"/>
      <c r="M95" s="78"/>
    </row>
    <row r="96" spans="12:13" customFormat="1" x14ac:dyDescent="0.3">
      <c r="L96" s="73"/>
      <c r="M96" s="78"/>
    </row>
    <row r="97" spans="12:13" customFormat="1" x14ac:dyDescent="0.3">
      <c r="L97" s="73"/>
      <c r="M97" s="78"/>
    </row>
    <row r="98" spans="12:13" customFormat="1" x14ac:dyDescent="0.3">
      <c r="L98" s="73"/>
      <c r="M98" s="78"/>
    </row>
    <row r="99" spans="12:13" customFormat="1" x14ac:dyDescent="0.3">
      <c r="L99" s="73"/>
      <c r="M99" s="78"/>
    </row>
    <row r="100" spans="12:13" customFormat="1" x14ac:dyDescent="0.3">
      <c r="L100" s="73"/>
      <c r="M100" s="78"/>
    </row>
    <row r="101" spans="12:13" customFormat="1" x14ac:dyDescent="0.3">
      <c r="L101" s="73"/>
      <c r="M101" s="78"/>
    </row>
    <row r="102" spans="12:13" customFormat="1" x14ac:dyDescent="0.3">
      <c r="L102" s="73"/>
      <c r="M102" s="78"/>
    </row>
    <row r="103" spans="12:13" customFormat="1" x14ac:dyDescent="0.3">
      <c r="L103" s="73"/>
      <c r="M103" s="78"/>
    </row>
    <row r="104" spans="12:13" customFormat="1" x14ac:dyDescent="0.3">
      <c r="L104" s="73"/>
      <c r="M104" s="78"/>
    </row>
    <row r="105" spans="12:13" customFormat="1" x14ac:dyDescent="0.3">
      <c r="L105" s="73"/>
      <c r="M105" s="78"/>
    </row>
    <row r="106" spans="12:13" customFormat="1" x14ac:dyDescent="0.3">
      <c r="L106" s="73"/>
      <c r="M106" s="78"/>
    </row>
    <row r="107" spans="12:13" customFormat="1" x14ac:dyDescent="0.3">
      <c r="L107" s="73"/>
      <c r="M107" s="78"/>
    </row>
    <row r="108" spans="12:13" customFormat="1" x14ac:dyDescent="0.3">
      <c r="L108" s="73"/>
      <c r="M108" s="78"/>
    </row>
    <row r="109" spans="12:13" customFormat="1" x14ac:dyDescent="0.3">
      <c r="L109" s="73"/>
      <c r="M109" s="78"/>
    </row>
    <row r="110" spans="12:13" customFormat="1" x14ac:dyDescent="0.3">
      <c r="L110" s="73"/>
      <c r="M110" s="78"/>
    </row>
    <row r="111" spans="12:13" customFormat="1" x14ac:dyDescent="0.3">
      <c r="L111" s="73"/>
      <c r="M111" s="78"/>
    </row>
    <row r="112" spans="12:13" customFormat="1" x14ac:dyDescent="0.3">
      <c r="L112" s="73"/>
      <c r="M112" s="78"/>
    </row>
    <row r="113" spans="12:13" customFormat="1" x14ac:dyDescent="0.3">
      <c r="L113" s="73"/>
      <c r="M113" s="78"/>
    </row>
    <row r="114" spans="12:13" customFormat="1" x14ac:dyDescent="0.3">
      <c r="L114" s="73"/>
      <c r="M114" s="78"/>
    </row>
    <row r="115" spans="12:13" customFormat="1" x14ac:dyDescent="0.3">
      <c r="L115" s="73"/>
      <c r="M115" s="78"/>
    </row>
    <row r="116" spans="12:13" customFormat="1" x14ac:dyDescent="0.3">
      <c r="L116" s="73"/>
      <c r="M116" s="78"/>
    </row>
    <row r="117" spans="12:13" customFormat="1" x14ac:dyDescent="0.3">
      <c r="L117" s="73"/>
      <c r="M117" s="78"/>
    </row>
    <row r="118" spans="12:13" customFormat="1" x14ac:dyDescent="0.3">
      <c r="L118" s="73"/>
      <c r="M118" s="78"/>
    </row>
    <row r="119" spans="12:13" customFormat="1" x14ac:dyDescent="0.3">
      <c r="L119" s="73"/>
      <c r="M119" s="78"/>
    </row>
    <row r="120" spans="12:13" customFormat="1" x14ac:dyDescent="0.3">
      <c r="L120" s="73"/>
      <c r="M120" s="78"/>
    </row>
    <row r="121" spans="12:13" customFormat="1" x14ac:dyDescent="0.3">
      <c r="L121" s="73"/>
      <c r="M121" s="78"/>
    </row>
    <row r="122" spans="12:13" customFormat="1" x14ac:dyDescent="0.3">
      <c r="L122" s="73"/>
      <c r="M122" s="78"/>
    </row>
    <row r="123" spans="12:13" customFormat="1" x14ac:dyDescent="0.3">
      <c r="L123" s="73"/>
      <c r="M123" s="78"/>
    </row>
    <row r="124" spans="12:13" customFormat="1" x14ac:dyDescent="0.3">
      <c r="L124" s="73"/>
      <c r="M124" s="78"/>
    </row>
    <row r="125" spans="12:13" customFormat="1" x14ac:dyDescent="0.3">
      <c r="L125" s="73"/>
      <c r="M125" s="78"/>
    </row>
    <row r="126" spans="12:13" customFormat="1" x14ac:dyDescent="0.3">
      <c r="L126" s="73"/>
      <c r="M126" s="78"/>
    </row>
    <row r="127" spans="12:13" customFormat="1" x14ac:dyDescent="0.3">
      <c r="L127" s="73"/>
      <c r="M127" s="78"/>
    </row>
    <row r="128" spans="12:13" customFormat="1" x14ac:dyDescent="0.3">
      <c r="L128" s="73"/>
      <c r="M128" s="78"/>
    </row>
    <row r="129" spans="12:13" customFormat="1" x14ac:dyDescent="0.3">
      <c r="L129" s="73"/>
      <c r="M129" s="78"/>
    </row>
    <row r="130" spans="12:13" customFormat="1" x14ac:dyDescent="0.3">
      <c r="L130" s="73"/>
      <c r="M130" s="78"/>
    </row>
    <row r="131" spans="12:13" customFormat="1" x14ac:dyDescent="0.3">
      <c r="L131" s="73"/>
      <c r="M131" s="78"/>
    </row>
    <row r="132" spans="12:13" customFormat="1" x14ac:dyDescent="0.3">
      <c r="L132" s="73"/>
      <c r="M132" s="78"/>
    </row>
    <row r="133" spans="12:13" customFormat="1" x14ac:dyDescent="0.3">
      <c r="L133" s="73"/>
      <c r="M133" s="78"/>
    </row>
    <row r="134" spans="12:13" customFormat="1" x14ac:dyDescent="0.3">
      <c r="L134" s="73"/>
      <c r="M134" s="78"/>
    </row>
    <row r="135" spans="12:13" customFormat="1" x14ac:dyDescent="0.3">
      <c r="L135" s="73"/>
      <c r="M135" s="78"/>
    </row>
    <row r="136" spans="12:13" customFormat="1" x14ac:dyDescent="0.3">
      <c r="L136" s="73"/>
      <c r="M136" s="78"/>
    </row>
    <row r="137" spans="12:13" customFormat="1" x14ac:dyDescent="0.3">
      <c r="L137" s="73"/>
      <c r="M137" s="78"/>
    </row>
    <row r="138" spans="12:13" customFormat="1" x14ac:dyDescent="0.3">
      <c r="L138" s="73"/>
      <c r="M138" s="78"/>
    </row>
    <row r="139" spans="12:13" customFormat="1" x14ac:dyDescent="0.3">
      <c r="L139" s="73"/>
      <c r="M139" s="78"/>
    </row>
    <row r="140" spans="12:13" customFormat="1" x14ac:dyDescent="0.3">
      <c r="L140" s="73"/>
      <c r="M140" s="78"/>
    </row>
    <row r="141" spans="12:13" customFormat="1" x14ac:dyDescent="0.3">
      <c r="L141" s="73"/>
      <c r="M141" s="78"/>
    </row>
    <row r="142" spans="12:13" customFormat="1" x14ac:dyDescent="0.3">
      <c r="L142" s="73"/>
      <c r="M142" s="78"/>
    </row>
    <row r="143" spans="12:13" customFormat="1" x14ac:dyDescent="0.3">
      <c r="L143" s="73"/>
      <c r="M143" s="78"/>
    </row>
    <row r="144" spans="12:13" customFormat="1" x14ac:dyDescent="0.3">
      <c r="L144" s="73"/>
      <c r="M144" s="78"/>
    </row>
    <row r="145" spans="12:13" customFormat="1" x14ac:dyDescent="0.3">
      <c r="L145" s="73"/>
      <c r="M145" s="78"/>
    </row>
    <row r="146" spans="12:13" customFormat="1" x14ac:dyDescent="0.3">
      <c r="L146" s="73"/>
      <c r="M146" s="78"/>
    </row>
    <row r="147" spans="12:13" customFormat="1" x14ac:dyDescent="0.3">
      <c r="L147" s="73"/>
      <c r="M147" s="78"/>
    </row>
    <row r="148" spans="12:13" customFormat="1" x14ac:dyDescent="0.3">
      <c r="L148" s="73"/>
      <c r="M148" s="78"/>
    </row>
    <row r="149" spans="12:13" customFormat="1" x14ac:dyDescent="0.3">
      <c r="L149" s="73"/>
      <c r="M149" s="78"/>
    </row>
    <row r="150" spans="12:13" customFormat="1" x14ac:dyDescent="0.3">
      <c r="L150" s="73"/>
      <c r="M150" s="78"/>
    </row>
    <row r="151" spans="12:13" customFormat="1" x14ac:dyDescent="0.3">
      <c r="L151" s="73"/>
      <c r="M151" s="78"/>
    </row>
    <row r="152" spans="12:13" customFormat="1" x14ac:dyDescent="0.3">
      <c r="L152" s="73"/>
      <c r="M152" s="78"/>
    </row>
    <row r="153" spans="12:13" customFormat="1" x14ac:dyDescent="0.3">
      <c r="L153" s="73"/>
      <c r="M153" s="78"/>
    </row>
    <row r="154" spans="12:13" customFormat="1" x14ac:dyDescent="0.3">
      <c r="L154" s="73"/>
      <c r="M154" s="78"/>
    </row>
    <row r="155" spans="12:13" customFormat="1" x14ac:dyDescent="0.3">
      <c r="L155" s="73"/>
      <c r="M155" s="78"/>
    </row>
    <row r="156" spans="12:13" customFormat="1" x14ac:dyDescent="0.3">
      <c r="L156" s="73"/>
      <c r="M156" s="78"/>
    </row>
    <row r="157" spans="12:13" customFormat="1" x14ac:dyDescent="0.3">
      <c r="L157" s="73"/>
      <c r="M157" s="78"/>
    </row>
    <row r="158" spans="12:13" customFormat="1" x14ac:dyDescent="0.3">
      <c r="L158" s="73"/>
      <c r="M158" s="78"/>
    </row>
    <row r="159" spans="12:13" customFormat="1" x14ac:dyDescent="0.3">
      <c r="L159" s="73"/>
      <c r="M159" s="78"/>
    </row>
    <row r="160" spans="12:13" customFormat="1" x14ac:dyDescent="0.3">
      <c r="L160" s="73"/>
      <c r="M160" s="78"/>
    </row>
    <row r="161" spans="12:13" customFormat="1" x14ac:dyDescent="0.3">
      <c r="L161" s="73"/>
      <c r="M161" s="78"/>
    </row>
    <row r="162" spans="12:13" customFormat="1" x14ac:dyDescent="0.3">
      <c r="L162" s="73"/>
      <c r="M162" s="78"/>
    </row>
    <row r="163" spans="12:13" customFormat="1" x14ac:dyDescent="0.3">
      <c r="L163" s="73"/>
      <c r="M163" s="78"/>
    </row>
    <row r="164" spans="12:13" customFormat="1" x14ac:dyDescent="0.3">
      <c r="L164" s="73"/>
      <c r="M164" s="78"/>
    </row>
    <row r="165" spans="12:13" customFormat="1" x14ac:dyDescent="0.3">
      <c r="L165" s="73"/>
      <c r="M165" s="78"/>
    </row>
    <row r="166" spans="12:13" customFormat="1" x14ac:dyDescent="0.3">
      <c r="L166" s="73"/>
      <c r="M166" s="78"/>
    </row>
    <row r="167" spans="12:13" customFormat="1" x14ac:dyDescent="0.3">
      <c r="L167" s="73"/>
      <c r="M167" s="78"/>
    </row>
    <row r="168" spans="12:13" customFormat="1" x14ac:dyDescent="0.3">
      <c r="L168" s="73"/>
      <c r="M168" s="78"/>
    </row>
    <row r="169" spans="12:13" customFormat="1" x14ac:dyDescent="0.3">
      <c r="L169" s="73"/>
      <c r="M169" s="78"/>
    </row>
    <row r="170" spans="12:13" customFormat="1" x14ac:dyDescent="0.3">
      <c r="L170" s="73"/>
      <c r="M170" s="78"/>
    </row>
    <row r="171" spans="12:13" customFormat="1" x14ac:dyDescent="0.3">
      <c r="L171" s="73"/>
      <c r="M171" s="78"/>
    </row>
    <row r="172" spans="12:13" customFormat="1" x14ac:dyDescent="0.3">
      <c r="L172" s="73"/>
      <c r="M172" s="78"/>
    </row>
    <row r="173" spans="12:13" customFormat="1" x14ac:dyDescent="0.3">
      <c r="L173" s="73"/>
      <c r="M173" s="78"/>
    </row>
    <row r="174" spans="12:13" customFormat="1" x14ac:dyDescent="0.3">
      <c r="L174" s="73"/>
      <c r="M174" s="78"/>
    </row>
    <row r="175" spans="12:13" customFormat="1" x14ac:dyDescent="0.3">
      <c r="L175" s="73"/>
      <c r="M175" s="78"/>
    </row>
    <row r="176" spans="12:13" customFormat="1" x14ac:dyDescent="0.3">
      <c r="L176" s="73"/>
      <c r="M176" s="78"/>
    </row>
    <row r="177" spans="12:13" customFormat="1" x14ac:dyDescent="0.3">
      <c r="L177" s="73"/>
      <c r="M177" s="78"/>
    </row>
    <row r="178" spans="12:13" customFormat="1" x14ac:dyDescent="0.3">
      <c r="L178" s="73"/>
      <c r="M178" s="78"/>
    </row>
    <row r="179" spans="12:13" customFormat="1" x14ac:dyDescent="0.3">
      <c r="L179" s="73"/>
      <c r="M179" s="78"/>
    </row>
    <row r="180" spans="12:13" customFormat="1" x14ac:dyDescent="0.3">
      <c r="L180" s="73"/>
      <c r="M180" s="78"/>
    </row>
    <row r="181" spans="12:13" customFormat="1" x14ac:dyDescent="0.3">
      <c r="L181" s="73"/>
      <c r="M181" s="78"/>
    </row>
    <row r="182" spans="12:13" customFormat="1" x14ac:dyDescent="0.3">
      <c r="L182" s="73"/>
      <c r="M182" s="78"/>
    </row>
    <row r="183" spans="12:13" customFormat="1" x14ac:dyDescent="0.3">
      <c r="L183" s="73"/>
      <c r="M183" s="78"/>
    </row>
    <row r="184" spans="12:13" customFormat="1" x14ac:dyDescent="0.3">
      <c r="L184" s="73"/>
      <c r="M184" s="78"/>
    </row>
    <row r="185" spans="12:13" customFormat="1" x14ac:dyDescent="0.3">
      <c r="L185" s="73"/>
      <c r="M185" s="78"/>
    </row>
    <row r="186" spans="12:13" customFormat="1" x14ac:dyDescent="0.3">
      <c r="L186" s="73"/>
      <c r="M186" s="78"/>
    </row>
    <row r="187" spans="12:13" customFormat="1" x14ac:dyDescent="0.3">
      <c r="L187" s="73"/>
      <c r="M187" s="78"/>
    </row>
    <row r="188" spans="12:13" customFormat="1" x14ac:dyDescent="0.3">
      <c r="L188" s="73"/>
      <c r="M188" s="78"/>
    </row>
    <row r="189" spans="12:13" customFormat="1" x14ac:dyDescent="0.3">
      <c r="L189" s="73"/>
      <c r="M189" s="78"/>
    </row>
    <row r="190" spans="12:13" customFormat="1" x14ac:dyDescent="0.3">
      <c r="L190" s="73"/>
      <c r="M190" s="78"/>
    </row>
    <row r="191" spans="12:13" customFormat="1" x14ac:dyDescent="0.3">
      <c r="L191" s="73"/>
      <c r="M191" s="78"/>
    </row>
    <row r="192" spans="12:13" customFormat="1" x14ac:dyDescent="0.3">
      <c r="L192" s="73"/>
      <c r="M192" s="78"/>
    </row>
    <row r="193" spans="12:13" customFormat="1" x14ac:dyDescent="0.3">
      <c r="L193" s="73"/>
      <c r="M193" s="78"/>
    </row>
    <row r="194" spans="12:13" customFormat="1" x14ac:dyDescent="0.3">
      <c r="L194" s="73"/>
      <c r="M194" s="78"/>
    </row>
    <row r="195" spans="12:13" customFormat="1" x14ac:dyDescent="0.3">
      <c r="L195" s="73"/>
      <c r="M195" s="78"/>
    </row>
    <row r="196" spans="12:13" customFormat="1" x14ac:dyDescent="0.3">
      <c r="L196" s="73"/>
      <c r="M196" s="78"/>
    </row>
    <row r="197" spans="12:13" customFormat="1" x14ac:dyDescent="0.3">
      <c r="L197" s="73"/>
      <c r="M197" s="78"/>
    </row>
    <row r="198" spans="12:13" customFormat="1" x14ac:dyDescent="0.3">
      <c r="L198" s="73"/>
      <c r="M198" s="78"/>
    </row>
    <row r="199" spans="12:13" customFormat="1" x14ac:dyDescent="0.3">
      <c r="L199" s="73"/>
      <c r="M199" s="78"/>
    </row>
    <row r="200" spans="12:13" customFormat="1" x14ac:dyDescent="0.3">
      <c r="L200" s="73"/>
      <c r="M200" s="78"/>
    </row>
    <row r="201" spans="12:13" customFormat="1" x14ac:dyDescent="0.3">
      <c r="L201" s="73"/>
      <c r="M201" s="78"/>
    </row>
  </sheetData>
  <mergeCells count="41">
    <mergeCell ref="AL27:AM27"/>
    <mergeCell ref="AL28:AM28"/>
    <mergeCell ref="AK1:AX1"/>
    <mergeCell ref="Z2:Z3"/>
    <mergeCell ref="AA2:AA3"/>
    <mergeCell ref="AB2:AC3"/>
    <mergeCell ref="AD2:AE3"/>
    <mergeCell ref="AF2:AF3"/>
    <mergeCell ref="AW2:AW3"/>
    <mergeCell ref="AX2:AX3"/>
    <mergeCell ref="AK4:AL4"/>
    <mergeCell ref="AB4:AC4"/>
    <mergeCell ref="AD4:AE4"/>
    <mergeCell ref="AG2:AG3"/>
    <mergeCell ref="AH2:AH3"/>
    <mergeCell ref="AI2:AI3"/>
    <mergeCell ref="AK2:AL3"/>
    <mergeCell ref="AM4:AN4"/>
    <mergeCell ref="AO4:AP4"/>
    <mergeCell ref="AQ4:AR4"/>
    <mergeCell ref="AS4:AT4"/>
    <mergeCell ref="AM2:AN3"/>
    <mergeCell ref="AO2:AP3"/>
    <mergeCell ref="AQ2:AR3"/>
    <mergeCell ref="AS2:AT3"/>
    <mergeCell ref="AO21:AS21"/>
    <mergeCell ref="Z1:AH1"/>
    <mergeCell ref="AO11:AV11"/>
    <mergeCell ref="AO12:AQ12"/>
    <mergeCell ref="AT12:AU12"/>
    <mergeCell ref="AO13:AQ13"/>
    <mergeCell ref="AT13:AU13"/>
    <mergeCell ref="AO9:AP9"/>
    <mergeCell ref="AQ9:AR9"/>
    <mergeCell ref="AS9:AT9"/>
    <mergeCell ref="AO8:AP8"/>
    <mergeCell ref="AQ8:AR8"/>
    <mergeCell ref="AS8:AT8"/>
    <mergeCell ref="AO7:AT7"/>
    <mergeCell ref="AU2:AU3"/>
    <mergeCell ref="AV2:AV3"/>
  </mergeCells>
  <conditionalFormatting sqref="L2:L71">
    <cfRule type="cellIs" dxfId="42" priority="8" operator="greaterThanOrEqual">
      <formula>95%</formula>
    </cfRule>
    <cfRule type="cellIs" dxfId="41" priority="9" operator="greaterThanOrEqual">
      <formula>90%</formula>
    </cfRule>
    <cfRule type="cellIs" dxfId="40" priority="11" operator="greaterThanOrEqual">
      <formula>85%</formula>
    </cfRule>
  </conditionalFormatting>
  <conditionalFormatting sqref="E2:R71">
    <cfRule type="expression" dxfId="39" priority="5">
      <formula>$Q2:$Q26=0</formula>
    </cfRule>
    <cfRule type="expression" dxfId="38" priority="6">
      <formula>$Q2:$Q26=1</formula>
    </cfRule>
  </conditionalFormatting>
  <conditionalFormatting sqref="M2:M71">
    <cfRule type="cellIs" dxfId="37" priority="7" operator="greaterThanOrEqual">
      <formula>95%</formula>
    </cfRule>
    <cfRule type="cellIs" dxfId="36" priority="10" operator="greaterThanOrEqual">
      <formula>90%</formula>
    </cfRule>
    <cfRule type="cellIs" dxfId="35" priority="12" operator="greaterThanOrEqual">
      <formula>85%</formula>
    </cfRule>
  </conditionalFormatting>
  <conditionalFormatting sqref="U2">
    <cfRule type="iconSet" priority="4">
      <iconSet iconSet="3Arrows">
        <cfvo type="percent" val="0"/>
        <cfvo type="num" val="$V$2"/>
        <cfvo type="num" val="$V$2" gte="0"/>
      </iconSet>
    </cfRule>
  </conditionalFormatting>
  <conditionalFormatting sqref="V2">
    <cfRule type="iconSet" priority="3">
      <iconSet iconSet="3Arrows">
        <cfvo type="percent" val="0"/>
        <cfvo type="num" val="$U$2"/>
        <cfvo type="num" val="$U$2" gte="0"/>
      </iconSet>
    </cfRule>
  </conditionalFormatting>
  <conditionalFormatting sqref="D2:D71">
    <cfRule type="expression" dxfId="34" priority="1">
      <formula>$Q2:$Q26=0</formula>
    </cfRule>
    <cfRule type="expression" dxfId="33" priority="2">
      <formula>$Q2:$Q26=1</formula>
    </cfRule>
  </conditionalFormatting>
  <dataValidations count="1">
    <dataValidation type="list" allowBlank="1" showInputMessage="1" showErrorMessage="1" sqref="O2:O71 AO12:AQ12" xr:uid="{00000000-0002-0000-0600-000000000000}">
      <formula1>ВидСпортаЧемпионат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600-000001000000}">
          <x14:formula1>
            <xm:f>Мастерская!$E$1:$E$3</xm:f>
          </x14:formula1>
          <xm:sqref>P2:P71 P202:P1048576</xm:sqref>
        </x14:dataValidation>
        <x14:dataValidation type="list" allowBlank="1" showInputMessage="1" showErrorMessage="1" xr:uid="{00000000-0002-0000-0600-000002000000}">
          <x14:formula1>
            <xm:f>Мастерская!$A$1:$A$6</xm:f>
          </x14:formula1>
          <xm:sqref>E2:E71</xm:sqref>
        </x14:dataValidation>
        <x14:dataValidation type="list" allowBlank="1" showInputMessage="1" showErrorMessage="1" xr:uid="{00000000-0002-0000-0600-000003000000}">
          <x14:formula1>
            <xm:f>Мастерская!$C$1:$C$3</xm:f>
          </x14:formula1>
          <xm:sqref>N2:N71 N202:N1048576</xm:sqref>
        </x14:dataValidation>
        <x14:dataValidation type="list" allowBlank="1" showInputMessage="1" showErrorMessage="1" xr:uid="{00000000-0002-0000-0600-000005000000}">
          <x14:formula1>
            <xm:f>Мастерская!$I:$I</xm:f>
          </x14:formula1>
          <xm:sqref>O202:O1048576</xm:sqref>
        </x14:dataValidation>
        <x14:dataValidation type="list" allowBlank="1" showInputMessage="1" showErrorMessage="1" xr:uid="{00000000-0002-0000-0600-000006000000}">
          <x14:formula1>
            <xm:f>Мастерская!$A:$A</xm:f>
          </x14:formula1>
          <xm:sqref>E202:E1048576</xm:sqref>
        </x14:dataValidation>
        <x14:dataValidation type="list" allowBlank="1" showInputMessage="1" showErrorMessage="1" xr:uid="{A8D5FC48-C346-4BCC-A88C-8C59EDAC80BA}">
          <x14:formula1>
            <xm:f>Мастерская!$B$1:$B$23</xm:f>
          </x14:formula1>
          <xm:sqref>D2:D71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1"/>
  <dimension ref="A1:AX201"/>
  <sheetViews>
    <sheetView zoomScale="70" zoomScaleNormal="70" workbookViewId="0">
      <selection activeCell="A2" sqref="A2"/>
    </sheetView>
  </sheetViews>
  <sheetFormatPr defaultRowHeight="14.4" x14ac:dyDescent="0.3"/>
  <cols>
    <col min="1" max="1" width="12.109375" customWidth="1"/>
    <col min="2" max="2" width="12.6640625" customWidth="1"/>
    <col min="4" max="4" width="31.77734375" customWidth="1"/>
    <col min="5" max="5" width="18.6640625" style="20" customWidth="1"/>
    <col min="6" max="6" width="14.109375" style="17" customWidth="1"/>
    <col min="7" max="7" width="14.6640625" style="17" customWidth="1"/>
    <col min="8" max="8" width="14.88671875" style="17" customWidth="1"/>
    <col min="9" max="9" width="18" style="17" customWidth="1"/>
    <col min="10" max="10" width="20.33203125" style="17" customWidth="1"/>
    <col min="11" max="11" width="21.33203125" style="17" customWidth="1"/>
    <col min="12" max="12" width="23.109375" style="74" customWidth="1"/>
    <col min="13" max="13" width="20" style="79" customWidth="1"/>
    <col min="14" max="14" width="13" customWidth="1"/>
    <col min="15" max="15" width="29.33203125" style="13" customWidth="1"/>
    <col min="16" max="16" width="12.5546875" style="20" customWidth="1"/>
    <col min="17" max="17" width="19.109375" style="17" customWidth="1"/>
    <col min="18" max="18" width="20.109375" style="32" customWidth="1"/>
    <col min="19" max="19" width="10.5546875" customWidth="1"/>
    <col min="20" max="20" width="9.109375" customWidth="1"/>
    <col min="21" max="21" width="9.44140625" customWidth="1"/>
    <col min="22" max="22" width="10.6640625" customWidth="1"/>
    <col min="23" max="23" width="9.6640625" customWidth="1"/>
    <col min="24" max="24" width="15.33203125" customWidth="1"/>
    <col min="34" max="34" width="12.5546875" customWidth="1"/>
    <col min="35" max="35" width="33.109375" customWidth="1"/>
    <col min="38" max="38" width="14" customWidth="1"/>
    <col min="39" max="39" width="14.77734375" customWidth="1"/>
    <col min="41" max="41" width="22" customWidth="1"/>
    <col min="42" max="43" width="27.33203125" customWidth="1"/>
    <col min="44" max="44" width="32.109375" customWidth="1"/>
    <col min="45" max="45" width="30.5546875" customWidth="1"/>
    <col min="46" max="46" width="19.6640625" customWidth="1"/>
    <col min="47" max="47" width="16.33203125" customWidth="1"/>
    <col min="48" max="48" width="22" customWidth="1"/>
    <col min="49" max="49" width="15.5546875" customWidth="1"/>
    <col min="50" max="50" width="14.44140625" customWidth="1"/>
  </cols>
  <sheetData>
    <row r="1" spans="1:50" ht="78" customHeight="1" thickTop="1" thickBot="1" x14ac:dyDescent="0.35">
      <c r="A1" s="46" t="s">
        <v>0</v>
      </c>
      <c r="B1" s="47" t="s">
        <v>1</v>
      </c>
      <c r="C1" s="2"/>
      <c r="D1" s="116" t="s">
        <v>179</v>
      </c>
      <c r="E1" s="114" t="s">
        <v>5</v>
      </c>
      <c r="F1" s="7" t="s">
        <v>2</v>
      </c>
      <c r="G1" s="8" t="s">
        <v>10</v>
      </c>
      <c r="H1" s="8" t="s">
        <v>6</v>
      </c>
      <c r="I1" s="7" t="s">
        <v>4</v>
      </c>
      <c r="J1" s="9" t="s">
        <v>9</v>
      </c>
      <c r="K1" s="8" t="s">
        <v>11</v>
      </c>
      <c r="L1" s="10" t="s">
        <v>7</v>
      </c>
      <c r="M1" s="10" t="s">
        <v>8</v>
      </c>
      <c r="N1" s="7" t="s">
        <v>3</v>
      </c>
      <c r="O1" s="11" t="s">
        <v>20</v>
      </c>
      <c r="P1" s="7" t="s">
        <v>19</v>
      </c>
      <c r="Q1" s="29" t="s">
        <v>12</v>
      </c>
      <c r="R1" s="12" t="s">
        <v>89</v>
      </c>
      <c r="T1" s="43" t="s">
        <v>14</v>
      </c>
      <c r="U1" s="44" t="s">
        <v>68</v>
      </c>
      <c r="V1" s="63" t="s">
        <v>69</v>
      </c>
      <c r="W1" s="44" t="s">
        <v>13</v>
      </c>
      <c r="X1" s="45" t="s">
        <v>70</v>
      </c>
      <c r="Z1" s="148" t="s">
        <v>65</v>
      </c>
      <c r="AA1" s="149"/>
      <c r="AB1" s="149"/>
      <c r="AC1" s="149"/>
      <c r="AD1" s="149"/>
      <c r="AE1" s="149"/>
      <c r="AF1" s="149"/>
      <c r="AG1" s="149"/>
      <c r="AH1" s="149"/>
      <c r="AI1" s="12">
        <f t="array" ref="AI1">INDEX(D2:D71,MATCH(MAX(COUNTIF(D2:D71,D2:D71)),COUNTIF(D2:D71,D2:D71),0))</f>
        <v>0</v>
      </c>
      <c r="AK1" s="148" t="s">
        <v>175</v>
      </c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50"/>
    </row>
    <row r="2" spans="1:50" ht="16.5" customHeight="1" thickTop="1" thickBot="1" x14ac:dyDescent="0.35">
      <c r="A2" s="48"/>
      <c r="B2" s="49"/>
      <c r="D2" s="118"/>
      <c r="E2" s="115" t="s">
        <v>16</v>
      </c>
      <c r="F2" s="21"/>
      <c r="G2" s="21"/>
      <c r="H2" s="22" t="e">
        <f>(F2*100)/G2</f>
        <v>#DIV/0!</v>
      </c>
      <c r="I2" s="67"/>
      <c r="J2" s="21">
        <f>F2*I2+IF(N2="Фрибет",(F2*I2-F2)-F2*I2)</f>
        <v>0</v>
      </c>
      <c r="K2" s="22" t="e">
        <f>((J2*100)/G2)</f>
        <v>#DIV/0!</v>
      </c>
      <c r="L2" s="68" t="e">
        <f>1-M2</f>
        <v>#DIV/0!</v>
      </c>
      <c r="M2" s="69" t="e">
        <f>1/I2</f>
        <v>#DIV/0!</v>
      </c>
      <c r="N2" s="5"/>
      <c r="O2" s="28"/>
      <c r="P2" s="18" t="s">
        <v>39</v>
      </c>
      <c r="Q2" s="30">
        <f>IF(P2="Победа",1)+IF(P2="Поражение",0)+IF(P2="Не ставил",-2)</f>
        <v>-2</v>
      </c>
      <c r="R2" s="37"/>
      <c r="T2" s="39">
        <f>COUNTIF(Q2:Q1048576,1)+COUNTIF(Q2:Q1048576, 0)</f>
        <v>0</v>
      </c>
      <c r="U2" s="61">
        <f>COUNTIF(Q2:Q1048576,1)</f>
        <v>0</v>
      </c>
      <c r="V2" s="62">
        <f>COUNTIF(Q2:Q1048576,0)</f>
        <v>0</v>
      </c>
      <c r="W2" s="40" t="e">
        <f>(SUMIF(Q2:Q1048576,"=1")+SUMIF(Q2:Q1048576,"=0")*100)/T2</f>
        <v>#DIV/0!</v>
      </c>
      <c r="X2" s="41" t="e">
        <f>1-W2</f>
        <v>#DIV/0!</v>
      </c>
      <c r="Z2" s="190" t="s">
        <v>5</v>
      </c>
      <c r="AA2" s="160" t="s">
        <v>2</v>
      </c>
      <c r="AB2" s="192" t="s">
        <v>10</v>
      </c>
      <c r="AC2" s="193"/>
      <c r="AD2" s="192" t="s">
        <v>6</v>
      </c>
      <c r="AE2" s="193"/>
      <c r="AF2" s="144" t="s">
        <v>4</v>
      </c>
      <c r="AG2" s="144" t="s">
        <v>64</v>
      </c>
      <c r="AH2" s="144" t="s">
        <v>63</v>
      </c>
      <c r="AI2" s="175" t="s">
        <v>66</v>
      </c>
      <c r="AK2" s="179" t="s">
        <v>84</v>
      </c>
      <c r="AL2" s="180"/>
      <c r="AM2" s="185" t="s">
        <v>85</v>
      </c>
      <c r="AN2" s="180"/>
      <c r="AO2" s="186" t="s">
        <v>86</v>
      </c>
      <c r="AP2" s="187"/>
      <c r="AQ2" s="185" t="s">
        <v>87</v>
      </c>
      <c r="AR2" s="180"/>
      <c r="AS2" s="156" t="s">
        <v>123</v>
      </c>
      <c r="AT2" s="157"/>
      <c r="AU2" s="160" t="s">
        <v>119</v>
      </c>
      <c r="AV2" s="144" t="s">
        <v>120</v>
      </c>
      <c r="AW2" s="144" t="s">
        <v>121</v>
      </c>
      <c r="AX2" s="146" t="s">
        <v>122</v>
      </c>
    </row>
    <row r="3" spans="1:50" x14ac:dyDescent="0.3">
      <c r="A3" s="50"/>
      <c r="B3" s="51"/>
      <c r="D3" s="119"/>
      <c r="E3" s="115" t="s">
        <v>16</v>
      </c>
      <c r="F3" s="23"/>
      <c r="G3" s="23"/>
      <c r="H3" s="24" t="e">
        <f t="shared" ref="H3:H25" si="0">(F3*100)/G3</f>
        <v>#DIV/0!</v>
      </c>
      <c r="I3" s="33"/>
      <c r="J3" s="21">
        <f t="shared" ref="J3:J66" si="1">F3*I3+IF(N3="Фрибет",(F3*I3-F3)-F3*I3)</f>
        <v>0</v>
      </c>
      <c r="K3" s="24" t="e">
        <f t="shared" ref="K3:K66" si="2">((J3*100)/G3)</f>
        <v>#DIV/0!</v>
      </c>
      <c r="L3" s="70" t="e">
        <f t="shared" ref="L3:L66" si="3">1-M3</f>
        <v>#DIV/0!</v>
      </c>
      <c r="M3" s="75" t="e">
        <f t="shared" ref="M3:M66" si="4">1/I3</f>
        <v>#DIV/0!</v>
      </c>
      <c r="N3" s="1"/>
      <c r="O3" s="28"/>
      <c r="P3" s="19" t="s">
        <v>39</v>
      </c>
      <c r="Q3" s="31">
        <f>IF(P3="Победа",1)+IF(P3="Поражение",0)+IF(P3="Не ставил",-2)</f>
        <v>-2</v>
      </c>
      <c r="R3" s="38"/>
      <c r="T3" s="3"/>
      <c r="Z3" s="191"/>
      <c r="AA3" s="161"/>
      <c r="AB3" s="194"/>
      <c r="AC3" s="195"/>
      <c r="AD3" s="194"/>
      <c r="AE3" s="195"/>
      <c r="AF3" s="145"/>
      <c r="AG3" s="145"/>
      <c r="AH3" s="145"/>
      <c r="AI3" s="176"/>
      <c r="AK3" s="181"/>
      <c r="AL3" s="159"/>
      <c r="AM3" s="158"/>
      <c r="AN3" s="159"/>
      <c r="AO3" s="188"/>
      <c r="AP3" s="189"/>
      <c r="AQ3" s="158"/>
      <c r="AR3" s="159"/>
      <c r="AS3" s="158"/>
      <c r="AT3" s="159"/>
      <c r="AU3" s="161"/>
      <c r="AV3" s="145"/>
      <c r="AW3" s="145"/>
      <c r="AX3" s="147"/>
    </row>
    <row r="4" spans="1:50" ht="15" thickBot="1" x14ac:dyDescent="0.35">
      <c r="A4" s="50"/>
      <c r="B4" s="51"/>
      <c r="D4" s="119"/>
      <c r="E4" s="115" t="s">
        <v>16</v>
      </c>
      <c r="F4" s="14"/>
      <c r="G4" s="14"/>
      <c r="H4" s="15" t="e">
        <f t="shared" si="0"/>
        <v>#DIV/0!</v>
      </c>
      <c r="I4" s="35"/>
      <c r="J4" s="21">
        <f t="shared" si="1"/>
        <v>0</v>
      </c>
      <c r="K4" s="15" t="e">
        <f t="shared" si="2"/>
        <v>#DIV/0!</v>
      </c>
      <c r="L4" s="71" t="e">
        <f t="shared" si="3"/>
        <v>#DIV/0!</v>
      </c>
      <c r="M4" s="76" t="e">
        <f t="shared" si="4"/>
        <v>#DIV/0!</v>
      </c>
      <c r="N4" s="16"/>
      <c r="O4" s="28"/>
      <c r="P4" s="19" t="s">
        <v>39</v>
      </c>
      <c r="Q4" s="30">
        <f t="shared" ref="Q4:Q67" si="5">IF(P4="Победа",1)+IF(P4="Поражение",0)+IF(P4="Не ставил",-2)</f>
        <v>-2</v>
      </c>
      <c r="R4" s="38"/>
      <c r="Z4" s="89" t="str">
        <f t="array" ref="Z4">INDEX(E2:E71,MATCH(MAX(COUNTIF(E2:E71,E2:E71)),COUNTIF(E2:E71,E2:E71),0))</f>
        <v>Моя</v>
      </c>
      <c r="AA4" s="57" t="e">
        <f>AVERAGE(F2:F1048576)</f>
        <v>#DIV/0!</v>
      </c>
      <c r="AB4" s="177" t="e">
        <f>AVERAGE(G2:G1048576)</f>
        <v>#DIV/0!</v>
      </c>
      <c r="AC4" s="178"/>
      <c r="AD4" s="183" t="e">
        <f>AVERAGEIF(H2:H1048576, "&gt;0")</f>
        <v>#DIV/0!</v>
      </c>
      <c r="AE4" s="184"/>
      <c r="AF4" s="111" t="e">
        <f>AVERAGE(I2:I1048576)</f>
        <v>#DIV/0!</v>
      </c>
      <c r="AG4" s="85" t="e">
        <f>AVERAGEIF(L2:L1048576,"&gt;0")</f>
        <v>#DIV/0!</v>
      </c>
      <c r="AH4" s="87">
        <f t="array" ref="AH4">INDEX(N2:N71,MATCH(MAX(COUNTIF(N2:N71,N2:N71)),COUNTIF(N2:N71,N2:N71),0))</f>
        <v>0</v>
      </c>
      <c r="AI4" s="88">
        <f t="array" ref="AI4">INDEX(O2:O71,MATCH(MAX(COUNTIF(O2:O71,O2:O71)),COUNTIF(O2:O71,O2:O71),0))</f>
        <v>0</v>
      </c>
      <c r="AK4" s="182">
        <f>MAX(F2:F1048576)</f>
        <v>0</v>
      </c>
      <c r="AL4" s="178"/>
      <c r="AM4" s="177">
        <f>MIN(F2:F1048576)</f>
        <v>0</v>
      </c>
      <c r="AN4" s="178"/>
      <c r="AO4" s="183">
        <f>MAX(I2:I1048576)</f>
        <v>0</v>
      </c>
      <c r="AP4" s="184"/>
      <c r="AQ4" s="183">
        <f>MIN(I2:I1048576)</f>
        <v>0</v>
      </c>
      <c r="AR4" s="184"/>
      <c r="AS4" s="177">
        <f>MAX(J2:J1048576)</f>
        <v>0</v>
      </c>
      <c r="AT4" s="178"/>
      <c r="AU4" s="58">
        <f t="array" ref="AU4">MAX(IF(P2:P71=Мастерская!E1,J2:J71))</f>
        <v>0</v>
      </c>
      <c r="AV4" s="58">
        <f t="array" ref="AV4">MIN(IF(P2:P71=Мастерская!E1,J2:J71))</f>
        <v>0</v>
      </c>
      <c r="AW4" s="58">
        <f t="array" ref="AW4">MAX(IF(P2:P71=Мастерская!E2,F2:F71))</f>
        <v>0</v>
      </c>
      <c r="AX4" s="66">
        <f t="array" ref="AX4">MIN(IF(P2:P71=Мастерская!E2,F2:F71))</f>
        <v>0</v>
      </c>
    </row>
    <row r="5" spans="1:50" x14ac:dyDescent="0.3">
      <c r="A5" s="50"/>
      <c r="B5" s="51"/>
      <c r="D5" s="119"/>
      <c r="E5" s="115" t="s">
        <v>16</v>
      </c>
      <c r="F5" s="23"/>
      <c r="G5" s="23"/>
      <c r="H5" s="24" t="e">
        <f t="shared" si="0"/>
        <v>#DIV/0!</v>
      </c>
      <c r="I5" s="33"/>
      <c r="J5" s="21">
        <f t="shared" si="1"/>
        <v>0</v>
      </c>
      <c r="K5" s="24" t="e">
        <f t="shared" si="2"/>
        <v>#DIV/0!</v>
      </c>
      <c r="L5" s="70" t="e">
        <f t="shared" si="3"/>
        <v>#DIV/0!</v>
      </c>
      <c r="M5" s="75" t="e">
        <f t="shared" si="4"/>
        <v>#DIV/0!</v>
      </c>
      <c r="N5" s="1"/>
      <c r="O5" s="28"/>
      <c r="P5" s="19" t="s">
        <v>39</v>
      </c>
      <c r="Q5" s="31">
        <f t="shared" si="5"/>
        <v>-2</v>
      </c>
      <c r="R5" s="38"/>
    </row>
    <row r="6" spans="1:50" ht="15" thickBot="1" x14ac:dyDescent="0.35">
      <c r="A6" s="50"/>
      <c r="B6" s="51"/>
      <c r="D6" s="119"/>
      <c r="E6" s="115" t="s">
        <v>16</v>
      </c>
      <c r="F6" s="23"/>
      <c r="G6" s="23"/>
      <c r="H6" s="24" t="e">
        <f t="shared" si="0"/>
        <v>#DIV/0!</v>
      </c>
      <c r="I6" s="33"/>
      <c r="J6" s="21">
        <f t="shared" si="1"/>
        <v>0</v>
      </c>
      <c r="K6" s="24" t="e">
        <f t="shared" si="2"/>
        <v>#DIV/0!</v>
      </c>
      <c r="L6" s="70" t="e">
        <f t="shared" si="3"/>
        <v>#DIV/0!</v>
      </c>
      <c r="M6" s="75" t="e">
        <f t="shared" si="4"/>
        <v>#DIV/0!</v>
      </c>
      <c r="N6" s="1"/>
      <c r="O6" s="28"/>
      <c r="P6" s="19" t="s">
        <v>39</v>
      </c>
      <c r="Q6" s="30">
        <f t="shared" si="5"/>
        <v>-2</v>
      </c>
      <c r="R6" s="38"/>
    </row>
    <row r="7" spans="1:50" ht="15.6" thickTop="1" thickBot="1" x14ac:dyDescent="0.35">
      <c r="A7" s="50"/>
      <c r="B7" s="51"/>
      <c r="D7" s="119"/>
      <c r="E7" s="115" t="s">
        <v>16</v>
      </c>
      <c r="F7" s="23"/>
      <c r="G7" s="23"/>
      <c r="H7" s="24" t="e">
        <f t="shared" si="0"/>
        <v>#DIV/0!</v>
      </c>
      <c r="I7" s="33"/>
      <c r="J7" s="21">
        <f t="shared" si="1"/>
        <v>0</v>
      </c>
      <c r="K7" s="24" t="e">
        <f t="shared" si="2"/>
        <v>#DIV/0!</v>
      </c>
      <c r="L7" s="70" t="e">
        <f t="shared" si="3"/>
        <v>#DIV/0!</v>
      </c>
      <c r="M7" s="75" t="e">
        <f t="shared" si="4"/>
        <v>#DIV/0!</v>
      </c>
      <c r="N7" s="1"/>
      <c r="O7" s="28"/>
      <c r="P7" s="19" t="s">
        <v>39</v>
      </c>
      <c r="Q7" s="31">
        <f t="shared" si="5"/>
        <v>-2</v>
      </c>
      <c r="R7" s="38"/>
      <c r="AO7" s="196" t="s">
        <v>90</v>
      </c>
      <c r="AP7" s="203"/>
      <c r="AQ7" s="203"/>
      <c r="AR7" s="203"/>
      <c r="AS7" s="203"/>
      <c r="AT7" s="197"/>
    </row>
    <row r="8" spans="1:50" ht="15" thickTop="1" x14ac:dyDescent="0.3">
      <c r="A8" s="50"/>
      <c r="B8" s="51"/>
      <c r="D8" s="119"/>
      <c r="E8" s="115" t="s">
        <v>16</v>
      </c>
      <c r="F8" s="23"/>
      <c r="G8" s="23"/>
      <c r="H8" s="24" t="e">
        <f t="shared" si="0"/>
        <v>#DIV/0!</v>
      </c>
      <c r="I8" s="33"/>
      <c r="J8" s="21">
        <f t="shared" si="1"/>
        <v>0</v>
      </c>
      <c r="K8" s="24" t="e">
        <f t="shared" si="2"/>
        <v>#DIV/0!</v>
      </c>
      <c r="L8" s="70" t="e">
        <f t="shared" si="3"/>
        <v>#DIV/0!</v>
      </c>
      <c r="M8" s="75" t="e">
        <f t="shared" si="4"/>
        <v>#DIV/0!</v>
      </c>
      <c r="N8" s="1"/>
      <c r="O8" s="28"/>
      <c r="P8" s="19" t="s">
        <v>39</v>
      </c>
      <c r="Q8" s="30">
        <f t="shared" si="5"/>
        <v>-2</v>
      </c>
      <c r="R8" s="38"/>
      <c r="AO8" s="166" t="s">
        <v>178</v>
      </c>
      <c r="AP8" s="167"/>
      <c r="AQ8" s="168" t="s">
        <v>17</v>
      </c>
      <c r="AR8" s="167"/>
      <c r="AS8" s="168" t="s">
        <v>40</v>
      </c>
      <c r="AT8" s="169"/>
    </row>
    <row r="9" spans="1:50" ht="15" thickBot="1" x14ac:dyDescent="0.35">
      <c r="A9" s="52"/>
      <c r="B9" s="51"/>
      <c r="D9" s="119"/>
      <c r="E9" s="115" t="s">
        <v>16</v>
      </c>
      <c r="F9" s="23"/>
      <c r="G9" s="23"/>
      <c r="H9" s="24" t="e">
        <f t="shared" si="0"/>
        <v>#DIV/0!</v>
      </c>
      <c r="I9" s="33"/>
      <c r="J9" s="21">
        <f t="shared" si="1"/>
        <v>0</v>
      </c>
      <c r="K9" s="24" t="e">
        <f t="shared" si="2"/>
        <v>#DIV/0!</v>
      </c>
      <c r="L9" s="70" t="e">
        <f t="shared" si="3"/>
        <v>#DIV/0!</v>
      </c>
      <c r="M9" s="75" t="e">
        <f t="shared" si="4"/>
        <v>#DIV/0!</v>
      </c>
      <c r="N9" s="1"/>
      <c r="O9" s="28"/>
      <c r="P9" s="19" t="s">
        <v>39</v>
      </c>
      <c r="Q9" s="31">
        <f t="shared" si="5"/>
        <v>-2</v>
      </c>
      <c r="R9" s="38"/>
      <c r="AO9" s="162">
        <f>COUNTIF(N2:N1048576, "Одинар")</f>
        <v>0</v>
      </c>
      <c r="AP9" s="163"/>
      <c r="AQ9" s="164">
        <f>COUNTIF(N2:N1048576, "Экспресс")</f>
        <v>0</v>
      </c>
      <c r="AR9" s="163"/>
      <c r="AS9" s="164">
        <f>COUNTIF(N2:N1048576, "Фрибет")</f>
        <v>0</v>
      </c>
      <c r="AT9" s="165"/>
    </row>
    <row r="10" spans="1:50" ht="15" thickBot="1" x14ac:dyDescent="0.35">
      <c r="A10" s="52"/>
      <c r="B10" s="51"/>
      <c r="D10" s="119"/>
      <c r="E10" s="115" t="s">
        <v>16</v>
      </c>
      <c r="F10" s="25"/>
      <c r="G10" s="25"/>
      <c r="H10" s="26" t="e">
        <f t="shared" si="0"/>
        <v>#DIV/0!</v>
      </c>
      <c r="I10" s="36"/>
      <c r="J10" s="21">
        <f t="shared" si="1"/>
        <v>0</v>
      </c>
      <c r="K10" s="26" t="e">
        <f t="shared" si="2"/>
        <v>#DIV/0!</v>
      </c>
      <c r="L10" s="72" t="e">
        <f t="shared" si="3"/>
        <v>#DIV/0!</v>
      </c>
      <c r="M10" s="77" t="e">
        <f t="shared" si="4"/>
        <v>#DIV/0!</v>
      </c>
      <c r="N10" s="4"/>
      <c r="O10" s="28"/>
      <c r="P10" s="19" t="s">
        <v>39</v>
      </c>
      <c r="Q10" s="30">
        <f t="shared" si="5"/>
        <v>-2</v>
      </c>
      <c r="R10" s="38"/>
    </row>
    <row r="11" spans="1:50" ht="15.6" thickTop="1" thickBot="1" x14ac:dyDescent="0.35">
      <c r="A11" s="50"/>
      <c r="B11" s="51"/>
      <c r="D11" s="119"/>
      <c r="E11" s="115" t="s">
        <v>16</v>
      </c>
      <c r="F11" s="23"/>
      <c r="G11" s="23"/>
      <c r="H11" s="24" t="e">
        <f t="shared" si="0"/>
        <v>#DIV/0!</v>
      </c>
      <c r="I11" s="33"/>
      <c r="J11" s="21">
        <f t="shared" si="1"/>
        <v>0</v>
      </c>
      <c r="K11" s="24" t="e">
        <f t="shared" si="2"/>
        <v>#DIV/0!</v>
      </c>
      <c r="L11" s="70" t="e">
        <f t="shared" si="3"/>
        <v>#DIV/0!</v>
      </c>
      <c r="M11" s="75" t="e">
        <f t="shared" si="4"/>
        <v>#DIV/0!</v>
      </c>
      <c r="N11" s="1"/>
      <c r="O11" s="28"/>
      <c r="P11" s="19" t="s">
        <v>39</v>
      </c>
      <c r="Q11" s="31">
        <f t="shared" si="5"/>
        <v>-2</v>
      </c>
      <c r="R11" s="38"/>
      <c r="AO11" s="200" t="s">
        <v>177</v>
      </c>
      <c r="AP11" s="201"/>
      <c r="AQ11" s="201"/>
      <c r="AR11" s="201"/>
      <c r="AS11" s="201"/>
      <c r="AT11" s="201"/>
      <c r="AU11" s="201"/>
      <c r="AV11" s="202"/>
    </row>
    <row r="12" spans="1:50" ht="15" thickTop="1" x14ac:dyDescent="0.3">
      <c r="A12" s="50"/>
      <c r="B12" s="51"/>
      <c r="D12" s="119"/>
      <c r="E12" s="115" t="s">
        <v>16</v>
      </c>
      <c r="F12" s="21"/>
      <c r="G12" s="21"/>
      <c r="H12" s="22" t="e">
        <f t="shared" si="0"/>
        <v>#DIV/0!</v>
      </c>
      <c r="I12" s="34"/>
      <c r="J12" s="21">
        <f t="shared" si="1"/>
        <v>0</v>
      </c>
      <c r="K12" s="22" t="e">
        <f t="shared" si="2"/>
        <v>#DIV/0!</v>
      </c>
      <c r="L12" s="68" t="e">
        <f t="shared" si="3"/>
        <v>#DIV/0!</v>
      </c>
      <c r="M12" s="69" t="e">
        <f t="shared" si="4"/>
        <v>#DIV/0!</v>
      </c>
      <c r="N12" s="5"/>
      <c r="O12" s="28"/>
      <c r="P12" s="19" t="s">
        <v>39</v>
      </c>
      <c r="Q12" s="30">
        <f t="shared" si="5"/>
        <v>-2</v>
      </c>
      <c r="R12" s="38"/>
      <c r="AO12" s="154" t="s">
        <v>33</v>
      </c>
      <c r="AP12" s="155"/>
      <c r="AQ12" s="155"/>
      <c r="AR12" s="96" t="s">
        <v>109</v>
      </c>
      <c r="AS12" s="96" t="s">
        <v>110</v>
      </c>
      <c r="AT12" s="155" t="s">
        <v>111</v>
      </c>
      <c r="AU12" s="155"/>
      <c r="AV12" s="91" t="s">
        <v>112</v>
      </c>
    </row>
    <row r="13" spans="1:50" ht="15" thickBot="1" x14ac:dyDescent="0.35">
      <c r="A13" s="50"/>
      <c r="B13" s="51"/>
      <c r="D13" s="119"/>
      <c r="E13" s="115" t="s">
        <v>16</v>
      </c>
      <c r="F13" s="23"/>
      <c r="G13" s="23"/>
      <c r="H13" s="24" t="e">
        <f t="shared" si="0"/>
        <v>#DIV/0!</v>
      </c>
      <c r="I13" s="33"/>
      <c r="J13" s="21">
        <f t="shared" si="1"/>
        <v>0</v>
      </c>
      <c r="K13" s="24" t="e">
        <f t="shared" si="2"/>
        <v>#DIV/0!</v>
      </c>
      <c r="L13" s="70" t="e">
        <f t="shared" si="3"/>
        <v>#DIV/0!</v>
      </c>
      <c r="M13" s="75" t="e">
        <f t="shared" si="4"/>
        <v>#DIV/0!</v>
      </c>
      <c r="N13" s="1"/>
      <c r="O13" s="28"/>
      <c r="P13" s="19" t="s">
        <v>39</v>
      </c>
      <c r="Q13" s="31">
        <f t="shared" si="5"/>
        <v>-2</v>
      </c>
      <c r="R13" s="38"/>
      <c r="AO13" s="173">
        <f>IF(AO12="Футбол - Лига Чемпионов УЕФА",Мастерская!J1, 0)+IF(AO12="Футбол - Лига Европы УЕФА",Мастерская!J2, 0)+IF(AO12="Футбол - Еврокубки. Другое",Мастерская!J3, 0)+IF(AO12="Футбол - Россия. РПЛ",Мастерская!J4, 0)+IF(AO12="Футбол - Кубок России",Мастерская!J5, 0)+IF(AO12="Футбол - Россия. ФНЛ",Мастерская!J6, 0)+IF(AO12="Футбол - Россия. ПФЛ",Мастерская!J7, 0)+IF(AO12="Футбол - Россия. Другое",Мастерская!J8, 0)+IF(AO12="Футбол - Англия. АПЛ",Мастерская!J9, 0)+IF(AO12="Футбол - Кубок Англии",Мастерская!J10, 0)+IF(AO12="Футбол - Англия. Кубок Лиги",Мастерская!J11, 0)+IF(AO12="Футбол - Англия. Чемпионшип",Мастерская!J12, 0)+IF(AO12="Футбол - Испания. Ла Лига",Мастерская!J13, 0)+IF(AO12="Футбол - Италия. Серия А",Мастерская!J14, 0)+IF(AO12="Футбол - Германия. Бундеслига",Мастерская!J15, 0)+IF(AO12="Футбол - Франция. Лига 1",Мастерская!J16, 0)+IF(AO12="Футбол - Португалия. Лига NOS",Мастерская!J17, 0)+IF(AO12="Футбол - Турция. Суперлига",Мастерская!J18, 0)+IF(AO12="Футбол - Нидерланды. Эредивизи",Мастерская!J19, 0)+IF(AO12="Футбол - Греция. Суперлига",Мастерская!J20, 0)+IF(AO12="Футбол - Украина. УПЛ",Мастерская!J21, 0)+IF(AO12="Футбол - Кубок Либертадорес",Мастерская!J22, 0)+IF(AO12="Футбол - США/Канада. MLS",Мастерская!J23, 0)+IF(AO12="Футбол - Бразилия. Сериа А",Мастерская!J24, 0)+IF(AO12="Футбол - Аргентина. Суперлига",Мастерская!J25, 0)+IF(AO12="Футбол - Китай. Суперлига",Мастерская!J26, 0)+IF(AO12="Футбол - Сборные. Чемпионат мира",Мастерская!J27, 0)+IF(AO12="Футбол - Сборные. Чемпионат Европы",Мастерская!J28, 0)+IF(AO12="Футбол - Сборные. Лига Наций",Мастерская!J29, 0)+IF(AO12="Футбол - Сборные. Кубок Америки",Мастерская!J30, 0)+IF(AO12="Футбол - Сборные. Кубок Азии",Мастерская!J31, 0)+IF(AO12="Футбол - Сборные. Кубок Африки",Мастерская!J32, 0)+IF(AO12="Футбол - Сборные. КОНКАКАФ",Мастерская!J33, 0)+IF(AO12="Футбол - Сборные.  Другое",Мастерская!J34, 0)+IF(AO12="Хоккей - КХЛ",Мастерская!J35, 0)+IF(AO12="Хоккей - НХЛ",Мастерская!J36, 0)+IF(AO12="Хоккей - Сборные. Чемпионат мира",Мастерская!J37, 0)+IF(AO12="Хоккей - Сборные. Евротур",Мастерская!J38, 0)+IF(AO12="Смешанные единоборства - UFC",Мастерская!J39, 0)+IF(AO12="Смешанные единоборства - Bellator",Мастерская!J40, 0)+IF(AO12="Смешанные единоборства - M-1",Мастерская!J41, 0)+IF(AO12="Смешанные единоборства - Fight Nights Global",Мастерская!J42, 0)+IF(AO12="Бокс - WBA",Мастерская!J43, 0)+IF(AO12="Бокс - WBC",Мастерская!J44, 0)+IF(AO12="Бокс - WBO",Мастерская!J45, 0)+IF(AO12="Бокс - IBF",Мастерская!J46, 0)+IF(AO12="Бокс - IBO",Мастерская!J47, 0)+IF(AO12="Теннис - Уимблдон. ATP",Мастерская!J48, 0)+IF(AO12="Теннис - Уимблдон. WTA",Мастерская!J49, 0)+IF(AO12="Теннис - Australian Open",Мастерская!J50, 0)+IF(AO12="Теннис - Франция. Ролан Гаррос",Мастерская!J51, 0)+IF(AO12="Теннис - US Open",Мастерская!J52, 0)+IF(AO12="Теннис - Кубок Федерации",Мастерская!J53, 0)+IF(AO12="Теннис - Кубок Дэвиса",Мастерская!J54, 0)+IF(AO12="Теннис - Кубок Кремля",Мастерская!J55, 0)+IF(AO12="Баскетбол - Сборные. Чемпионат мира",Мастерская!J56, 0)+IF(AO12="Баскетбол - Сборные. Чемпионат Европы",Мастерская!J57, 0)+IF(AO12="Баскетбол - Евролига",Мастерская!J58, 0)+IF(AO12="Баскетбол - Еврокубок",Мастерская!J59, 0)+IF(AO12="Баскетбол - Лига Чемпионов",Мастерская!J60, 0)+IF(AO12="Баскетбол - Россия. Единая Лига ВТБ",Мастерская!J61, 0)+IF(AO12="Баскетбол - США. NBA",Мастерская!J62, 0)+IF(AO12="Волейбол - Сборные. Чемпионат мира",Мастерская!J63, 0)+IF(AO12="Волейбол - Сборные. Кубок мира",Мастерская!J64, 0)+IF(AO12="Волейбол - Сборные. Всемирный Кубок Чемпионов",Мастерская!J65, 0)+IF(AO12="Волейбол - Сборные. Лига наций",Мастерская!J66, 0)+IF(AO12="Волейбол - Сборные. Чемпионат Европы",Мастерская!J67, 0)+IF(AO12="Волейбол - Евролига",Мастерская!J68, 0)+IF(AO12="Волейбол - Чемпионат России",Мастерская!J69, 0)+IF(AO12="Биатлон - Чемпионат мира",Мастерская!J70, 0)+IF(AO12="Биатлон - Чемпионат Европы",Мастерская!J71, 0)+IF(AO12="Биатлон - Кубок мира",Мастерская!J72, 0)+IF(AO12="Биатлон - Кубок IBU",Мастерская!J73, 0)+IF(AO12="Формула-1",Мастерская!J74, 0)+IF(AO12="Киберспорт - The International. Dota 2 Championships",Мастерская!J75, 0)+IF(AO12="Киберспорт - Другое",Мастерская!J76, 0)+IF(AO12="Мини-футбол - Сборные. Чемпионат мира",Мастерская!J77, 0)+IF(AO12="Мини-футбол - Сборные. Чемпионат Европы",Мастерская!J78, 0)+IF(AO12="Мини-футбол - Лига Чемпионов УЕФА",Мастерская!J79, 0)+IF(AO12="Мини-футбол - Россия. Суперлига",Мастерская!J80, 0)+IF(AO12="Мини-футбол - Бразилия. Лига футзала",Мастерская!J81, 0)+IF(AO12="Пляжный футбол - Сборные. Чемпионат мира",Мастерская!J82, 0)+IF(AO12="Пляжный футбол - Сборные. Межконтинентальный кубок",Мастерская!J83, 0)+IF(AO12="Пляжный футбол - Сборные. Кубок Европы",Мастерская!J84, 0)+IF(AO12="Пляжный футбол - Кубок европейских чемпионов",Мастерская!J85, 0)+IF(AO12="Пляжный футбол - Чемпионат России",Мастерская!J86, 0)+IF(AO12="Настольный теннис - Сборные. Чемпионат мира",Мастерская!J87, 0)+IF(AO12="Настольный теннис - Сборные. Чемпионат Европы",Мастерская!J88, 0)+IF(AO12="Хоккей с мячом - Сборные. Чемпионат мира",Мастерская!J89, 0)+IF(AO12="Хоккей с мячом - Россия. Суперлига",Мастерская!J90, 0)+IF(AO12="Гандбол",Мастерская!J91, 0)+IF(AO12="Снукер",Мастерская!J92, 0)+IF(AO12="Скачки",Мастерская!J93, 0)+IF(AO12="Американский футбол",Мастерская!J94, 0)+IF(AO12="Бейсбол",Мастерская!J95, 0)+IF(AO12="Водное поло",Мастерская!J96, 0)+IF(AO12="Лыжные гонки",Мастерская!J97, 0)+IF(AO12="Тяжёлая атлетика",Мастерская!J98, 0)+IF(AO12="Лёгкая атлетика",Мастерская!J99, 0)+IF(AO12="Регби",Мастерская!J100, 0)+IF(AO12="Пляжный волейбол",Мастерская!J101, 0)+IF(AO12="Кёрлинг",Мастерская!J102, 0)+IF(AO12="Гольф",Мастерская!J103, 0)+IF(AO12="Прыжки с трамплина",Мастерская!J104, 0)</f>
        <v>0</v>
      </c>
      <c r="AP13" s="174"/>
      <c r="AQ13" s="174"/>
      <c r="AR13" s="95">
        <f>SUM(Мастерская!J1:J34)</f>
        <v>0</v>
      </c>
      <c r="AS13" s="95">
        <f>SUM(Мастерская!J35:J38)</f>
        <v>0</v>
      </c>
      <c r="AT13" s="174">
        <f>SUM(Мастерская!J39:J42)</f>
        <v>0</v>
      </c>
      <c r="AU13" s="174"/>
      <c r="AV13" s="97">
        <f>SUM(Мастерская!J43:J47)</f>
        <v>0</v>
      </c>
    </row>
    <row r="14" spans="1:50" ht="15" thickTop="1" x14ac:dyDescent="0.3">
      <c r="A14" s="50"/>
      <c r="B14" s="51"/>
      <c r="D14" s="119"/>
      <c r="E14" s="115" t="s">
        <v>16</v>
      </c>
      <c r="F14" s="23"/>
      <c r="G14" s="23"/>
      <c r="H14" s="24" t="e">
        <f t="shared" si="0"/>
        <v>#DIV/0!</v>
      </c>
      <c r="I14" s="33"/>
      <c r="J14" s="21">
        <f t="shared" si="1"/>
        <v>0</v>
      </c>
      <c r="K14" s="24" t="e">
        <f t="shared" si="2"/>
        <v>#DIV/0!</v>
      </c>
      <c r="L14" s="70" t="e">
        <f t="shared" si="3"/>
        <v>#DIV/0!</v>
      </c>
      <c r="M14" s="75" t="e">
        <f t="shared" si="4"/>
        <v>#DIV/0!</v>
      </c>
      <c r="N14" s="1"/>
      <c r="O14" s="28"/>
      <c r="P14" s="19" t="s">
        <v>39</v>
      </c>
      <c r="Q14" s="30">
        <f t="shared" si="5"/>
        <v>-2</v>
      </c>
      <c r="R14" s="38"/>
      <c r="AO14" s="92" t="s">
        <v>113</v>
      </c>
      <c r="AP14" s="94" t="s">
        <v>114</v>
      </c>
      <c r="AQ14" s="94" t="s">
        <v>115</v>
      </c>
      <c r="AR14" s="94" t="s">
        <v>116</v>
      </c>
      <c r="AS14" s="94" t="s">
        <v>61</v>
      </c>
      <c r="AT14" s="94" t="s">
        <v>117</v>
      </c>
      <c r="AU14" s="94" t="s">
        <v>151</v>
      </c>
      <c r="AV14" s="98" t="s">
        <v>152</v>
      </c>
    </row>
    <row r="15" spans="1:50" ht="15" thickBot="1" x14ac:dyDescent="0.35">
      <c r="A15" s="50"/>
      <c r="B15" s="51"/>
      <c r="D15" s="119"/>
      <c r="E15" s="115" t="s">
        <v>16</v>
      </c>
      <c r="F15" s="23"/>
      <c r="G15" s="23"/>
      <c r="H15" s="24" t="e">
        <f t="shared" si="0"/>
        <v>#DIV/0!</v>
      </c>
      <c r="I15" s="33"/>
      <c r="J15" s="21">
        <f t="shared" si="1"/>
        <v>0</v>
      </c>
      <c r="K15" s="24" t="e">
        <f t="shared" si="2"/>
        <v>#DIV/0!</v>
      </c>
      <c r="L15" s="70" t="e">
        <f t="shared" si="3"/>
        <v>#DIV/0!</v>
      </c>
      <c r="M15" s="75" t="e">
        <f t="shared" si="4"/>
        <v>#DIV/0!</v>
      </c>
      <c r="N15" s="1"/>
      <c r="O15" s="28"/>
      <c r="P15" s="19" t="s">
        <v>39</v>
      </c>
      <c r="Q15" s="31">
        <f t="shared" si="5"/>
        <v>-2</v>
      </c>
      <c r="R15" s="38"/>
      <c r="AO15" s="93">
        <f>SUM(Мастерская!J48:J55)</f>
        <v>0</v>
      </c>
      <c r="AP15" s="95">
        <f>SUM(Мастерская!J56:J62)</f>
        <v>0</v>
      </c>
      <c r="AQ15" s="95">
        <f>SUM(Мастерская!J63:J69)</f>
        <v>0</v>
      </c>
      <c r="AR15" s="95">
        <f>SUM(Мастерская!J70:J73)</f>
        <v>0</v>
      </c>
      <c r="AS15" s="95">
        <f>Мастерская!J74</f>
        <v>0</v>
      </c>
      <c r="AT15" s="95">
        <f>SUM(Мастерская!J75:J76)</f>
        <v>0</v>
      </c>
      <c r="AU15" s="95">
        <f>SUM(Мастерская!J77:J81)</f>
        <v>0</v>
      </c>
      <c r="AV15" s="97">
        <f>SUM(Мастерская!J82:J86)</f>
        <v>0</v>
      </c>
    </row>
    <row r="16" spans="1:50" ht="15" thickTop="1" x14ac:dyDescent="0.3">
      <c r="A16" s="50"/>
      <c r="B16" s="51"/>
      <c r="D16" s="119"/>
      <c r="E16" s="115" t="s">
        <v>16</v>
      </c>
      <c r="F16" s="23"/>
      <c r="G16" s="23"/>
      <c r="H16" s="24" t="e">
        <f t="shared" si="0"/>
        <v>#DIV/0!</v>
      </c>
      <c r="I16" s="33"/>
      <c r="J16" s="21">
        <f t="shared" si="1"/>
        <v>0</v>
      </c>
      <c r="K16" s="24" t="e">
        <f t="shared" si="2"/>
        <v>#DIV/0!</v>
      </c>
      <c r="L16" s="70" t="e">
        <f t="shared" si="3"/>
        <v>#DIV/0!</v>
      </c>
      <c r="M16" s="75" t="e">
        <f t="shared" si="4"/>
        <v>#DIV/0!</v>
      </c>
      <c r="N16" s="1"/>
      <c r="O16" s="28"/>
      <c r="P16" s="19" t="s">
        <v>39</v>
      </c>
      <c r="Q16" s="30">
        <f t="shared" si="5"/>
        <v>-2</v>
      </c>
      <c r="R16" s="38"/>
      <c r="AO16" s="99" t="s">
        <v>145</v>
      </c>
      <c r="AP16" s="100" t="s">
        <v>154</v>
      </c>
      <c r="AQ16" s="100" t="s">
        <v>144</v>
      </c>
      <c r="AR16" s="100" t="s">
        <v>155</v>
      </c>
      <c r="AS16" s="100" t="s">
        <v>146</v>
      </c>
      <c r="AT16" s="100" t="s">
        <v>153</v>
      </c>
      <c r="AU16" s="100" t="s">
        <v>143</v>
      </c>
      <c r="AV16" s="101" t="s">
        <v>157</v>
      </c>
    </row>
    <row r="17" spans="1:48" ht="15" thickBot="1" x14ac:dyDescent="0.35">
      <c r="A17" s="50"/>
      <c r="B17" s="51"/>
      <c r="D17" s="119"/>
      <c r="E17" s="115" t="s">
        <v>16</v>
      </c>
      <c r="F17" s="23"/>
      <c r="G17" s="23"/>
      <c r="H17" s="24" t="e">
        <f t="shared" si="0"/>
        <v>#DIV/0!</v>
      </c>
      <c r="I17" s="33"/>
      <c r="J17" s="21">
        <f t="shared" si="1"/>
        <v>0</v>
      </c>
      <c r="K17" s="24" t="e">
        <f t="shared" si="2"/>
        <v>#DIV/0!</v>
      </c>
      <c r="L17" s="70" t="e">
        <f t="shared" si="3"/>
        <v>#DIV/0!</v>
      </c>
      <c r="M17" s="75" t="e">
        <f t="shared" si="4"/>
        <v>#DIV/0!</v>
      </c>
      <c r="N17" s="1"/>
      <c r="O17" s="28"/>
      <c r="P17" s="19" t="s">
        <v>39</v>
      </c>
      <c r="Q17" s="31">
        <f t="shared" si="5"/>
        <v>-2</v>
      </c>
      <c r="R17" s="38"/>
      <c r="AO17" s="102">
        <f>SUM(Мастерская!J87:J88)</f>
        <v>0</v>
      </c>
      <c r="AP17" s="103">
        <f>SUM(Мастерская!J89:J90)</f>
        <v>0</v>
      </c>
      <c r="AQ17" s="103">
        <f>Мастерская!J91</f>
        <v>0</v>
      </c>
      <c r="AR17" s="103">
        <f>Мастерская!J92</f>
        <v>0</v>
      </c>
      <c r="AS17" s="103">
        <f>Мастерская!J93</f>
        <v>0</v>
      </c>
      <c r="AT17" s="103">
        <f>Мастерская!J94</f>
        <v>0</v>
      </c>
      <c r="AU17" s="103">
        <f>Мастерская!J95</f>
        <v>0</v>
      </c>
      <c r="AV17" s="104">
        <f>Мастерская!J96</f>
        <v>0</v>
      </c>
    </row>
    <row r="18" spans="1:48" ht="15" thickTop="1" x14ac:dyDescent="0.3">
      <c r="A18" s="50"/>
      <c r="B18" s="51"/>
      <c r="D18" s="119"/>
      <c r="E18" s="115" t="s">
        <v>16</v>
      </c>
      <c r="F18" s="23"/>
      <c r="G18" s="23"/>
      <c r="H18" s="24" t="e">
        <f t="shared" si="0"/>
        <v>#DIV/0!</v>
      </c>
      <c r="I18" s="33"/>
      <c r="J18" s="21">
        <f t="shared" si="1"/>
        <v>0</v>
      </c>
      <c r="K18" s="24" t="e">
        <f t="shared" si="2"/>
        <v>#DIV/0!</v>
      </c>
      <c r="L18" s="70" t="e">
        <f t="shared" si="3"/>
        <v>#DIV/0!</v>
      </c>
      <c r="M18" s="75" t="e">
        <f t="shared" si="4"/>
        <v>#DIV/0!</v>
      </c>
      <c r="N18" s="1"/>
      <c r="O18" s="28"/>
      <c r="P18" s="19" t="s">
        <v>39</v>
      </c>
      <c r="Q18" s="30">
        <f t="shared" si="5"/>
        <v>-2</v>
      </c>
      <c r="R18" s="38"/>
      <c r="AO18" s="99" t="s">
        <v>156</v>
      </c>
      <c r="AP18" s="100" t="s">
        <v>159</v>
      </c>
      <c r="AQ18" s="100" t="s">
        <v>158</v>
      </c>
      <c r="AR18" s="100" t="s">
        <v>161</v>
      </c>
      <c r="AS18" s="100" t="s">
        <v>162</v>
      </c>
      <c r="AT18" s="100" t="s">
        <v>160</v>
      </c>
      <c r="AU18" s="100" t="s">
        <v>163</v>
      </c>
      <c r="AV18" s="101" t="s">
        <v>164</v>
      </c>
    </row>
    <row r="19" spans="1:48" ht="15" thickBot="1" x14ac:dyDescent="0.35">
      <c r="A19" s="50"/>
      <c r="B19" s="51"/>
      <c r="D19" s="119"/>
      <c r="E19" s="115" t="s">
        <v>16</v>
      </c>
      <c r="F19" s="23"/>
      <c r="G19" s="23"/>
      <c r="H19" s="24" t="e">
        <f t="shared" si="0"/>
        <v>#DIV/0!</v>
      </c>
      <c r="I19" s="33"/>
      <c r="J19" s="21">
        <f t="shared" si="1"/>
        <v>0</v>
      </c>
      <c r="K19" s="24" t="e">
        <f t="shared" si="2"/>
        <v>#DIV/0!</v>
      </c>
      <c r="L19" s="70" t="e">
        <f t="shared" si="3"/>
        <v>#DIV/0!</v>
      </c>
      <c r="M19" s="75" t="e">
        <f t="shared" si="4"/>
        <v>#DIV/0!</v>
      </c>
      <c r="N19" s="1"/>
      <c r="O19" s="28"/>
      <c r="P19" s="19" t="s">
        <v>39</v>
      </c>
      <c r="Q19" s="31">
        <f t="shared" si="5"/>
        <v>-2</v>
      </c>
      <c r="R19" s="38"/>
      <c r="AO19" s="105">
        <f>Мастерская!J97</f>
        <v>0</v>
      </c>
      <c r="AP19" s="106">
        <f>Мастерская!J98</f>
        <v>0</v>
      </c>
      <c r="AQ19" s="106">
        <f>Мастерская!J99</f>
        <v>0</v>
      </c>
      <c r="AR19" s="106">
        <f>Мастерская!J100</f>
        <v>0</v>
      </c>
      <c r="AS19" s="106">
        <f>Мастерская!J101</f>
        <v>0</v>
      </c>
      <c r="AT19" s="106">
        <f>Мастерская!J102</f>
        <v>0</v>
      </c>
      <c r="AU19" s="106">
        <f>Мастерская!J103</f>
        <v>0</v>
      </c>
      <c r="AV19" s="107">
        <f>Мастерская!J104</f>
        <v>0</v>
      </c>
    </row>
    <row r="20" spans="1:48" ht="15" thickBot="1" x14ac:dyDescent="0.35">
      <c r="A20" s="50"/>
      <c r="B20" s="51"/>
      <c r="D20" s="119"/>
      <c r="E20" s="115" t="s">
        <v>16</v>
      </c>
      <c r="F20" s="23"/>
      <c r="G20" s="23"/>
      <c r="H20" s="24" t="e">
        <f t="shared" si="0"/>
        <v>#DIV/0!</v>
      </c>
      <c r="I20" s="33"/>
      <c r="J20" s="21">
        <f t="shared" si="1"/>
        <v>0</v>
      </c>
      <c r="K20" s="24" t="e">
        <f t="shared" si="2"/>
        <v>#DIV/0!</v>
      </c>
      <c r="L20" s="70" t="e">
        <f t="shared" si="3"/>
        <v>#DIV/0!</v>
      </c>
      <c r="M20" s="75" t="e">
        <f t="shared" si="4"/>
        <v>#DIV/0!</v>
      </c>
      <c r="N20" s="1"/>
      <c r="O20" s="28"/>
      <c r="P20" s="19" t="s">
        <v>39</v>
      </c>
      <c r="Q20" s="30">
        <f t="shared" si="5"/>
        <v>-2</v>
      </c>
      <c r="R20" s="38"/>
    </row>
    <row r="21" spans="1:48" ht="15.6" thickTop="1" thickBot="1" x14ac:dyDescent="0.35">
      <c r="A21" s="50"/>
      <c r="B21" s="51"/>
      <c r="D21" s="119"/>
      <c r="E21" s="115" t="s">
        <v>16</v>
      </c>
      <c r="F21" s="23"/>
      <c r="G21" s="23"/>
      <c r="H21" s="24" t="e">
        <f t="shared" si="0"/>
        <v>#DIV/0!</v>
      </c>
      <c r="I21" s="33"/>
      <c r="J21" s="21">
        <f t="shared" si="1"/>
        <v>0</v>
      </c>
      <c r="K21" s="24" t="e">
        <f t="shared" si="2"/>
        <v>#DIV/0!</v>
      </c>
      <c r="L21" s="70" t="e">
        <f t="shared" si="3"/>
        <v>#DIV/0!</v>
      </c>
      <c r="M21" s="75" t="e">
        <f t="shared" si="4"/>
        <v>#DIV/0!</v>
      </c>
      <c r="N21" s="1"/>
      <c r="O21" s="28"/>
      <c r="P21" s="19" t="s">
        <v>39</v>
      </c>
      <c r="Q21" s="31">
        <f t="shared" si="5"/>
        <v>-2</v>
      </c>
      <c r="R21" s="38"/>
      <c r="AO21" s="170" t="s">
        <v>202</v>
      </c>
      <c r="AP21" s="171"/>
      <c r="AQ21" s="171"/>
      <c r="AR21" s="171"/>
      <c r="AS21" s="172"/>
    </row>
    <row r="22" spans="1:48" ht="16.5" customHeight="1" thickTop="1" x14ac:dyDescent="0.3">
      <c r="A22" s="50"/>
      <c r="B22" s="51"/>
      <c r="D22" s="119"/>
      <c r="E22" s="115" t="s">
        <v>16</v>
      </c>
      <c r="F22" s="23"/>
      <c r="G22" s="23"/>
      <c r="H22" s="24" t="e">
        <f t="shared" si="0"/>
        <v>#DIV/0!</v>
      </c>
      <c r="I22" s="33"/>
      <c r="J22" s="21">
        <f t="shared" si="1"/>
        <v>0</v>
      </c>
      <c r="K22" s="24" t="e">
        <f t="shared" si="2"/>
        <v>#DIV/0!</v>
      </c>
      <c r="L22" s="70" t="e">
        <f t="shared" si="3"/>
        <v>#DIV/0!</v>
      </c>
      <c r="M22" s="75" t="e">
        <f t="shared" si="4"/>
        <v>#DIV/0!</v>
      </c>
      <c r="N22" s="1"/>
      <c r="O22" s="28"/>
      <c r="P22" s="19" t="s">
        <v>39</v>
      </c>
      <c r="Q22" s="30">
        <f t="shared" si="5"/>
        <v>-2</v>
      </c>
      <c r="R22" s="38"/>
      <c r="T22" s="42"/>
      <c r="U22" s="42"/>
      <c r="V22" s="42"/>
      <c r="W22" s="42"/>
      <c r="X22" s="42"/>
      <c r="Y22" s="42"/>
      <c r="Z22" s="42"/>
      <c r="AA22" s="42"/>
      <c r="AB22" s="42"/>
      <c r="AO22" s="113" t="s">
        <v>180</v>
      </c>
      <c r="AP22" s="96" t="s">
        <v>181</v>
      </c>
      <c r="AQ22" s="96" t="s">
        <v>182</v>
      </c>
      <c r="AR22" s="112" t="s">
        <v>183</v>
      </c>
      <c r="AS22" s="91" t="s">
        <v>184</v>
      </c>
    </row>
    <row r="23" spans="1:48" ht="15.75" customHeight="1" thickBot="1" x14ac:dyDescent="0.35">
      <c r="A23" s="50"/>
      <c r="B23" s="51"/>
      <c r="D23" s="119"/>
      <c r="E23" s="115" t="s">
        <v>16</v>
      </c>
      <c r="F23" s="23"/>
      <c r="G23" s="23"/>
      <c r="H23" s="24" t="e">
        <f t="shared" si="0"/>
        <v>#DIV/0!</v>
      </c>
      <c r="I23" s="33"/>
      <c r="J23" s="21">
        <f t="shared" si="1"/>
        <v>0</v>
      </c>
      <c r="K23" s="24" t="e">
        <f t="shared" si="2"/>
        <v>#DIV/0!</v>
      </c>
      <c r="L23" s="70" t="e">
        <f t="shared" si="3"/>
        <v>#DIV/0!</v>
      </c>
      <c r="M23" s="75" t="e">
        <f t="shared" si="4"/>
        <v>#DIV/0!</v>
      </c>
      <c r="N23" s="1"/>
      <c r="O23" s="28"/>
      <c r="P23" s="19" t="s">
        <v>39</v>
      </c>
      <c r="Q23" s="31">
        <f t="shared" si="5"/>
        <v>-2</v>
      </c>
      <c r="R23" s="38"/>
      <c r="T23" s="42"/>
      <c r="U23" s="42"/>
      <c r="V23" s="42"/>
      <c r="W23" s="42"/>
      <c r="X23" s="42"/>
      <c r="Y23" s="42"/>
      <c r="Z23" s="42"/>
      <c r="AA23" s="42"/>
      <c r="AO23" s="93">
        <f>COUNTIF(D2:D1048576, "Победитель")</f>
        <v>0</v>
      </c>
      <c r="AP23" s="95">
        <f>COUNTIF(D2:D1048576, "Ничья")</f>
        <v>0</v>
      </c>
      <c r="AQ23" s="95">
        <f>COUNTIF(D2:D1048576, "Двойной шанс")</f>
        <v>0</v>
      </c>
      <c r="AR23" s="95">
        <f>COUNTIF(D2:D1048576, "Победитель (при ничьей - возврат)")</f>
        <v>0</v>
      </c>
      <c r="AS23" s="97">
        <f>COUNTIF(D2:D1048576, "Фора")</f>
        <v>0</v>
      </c>
    </row>
    <row r="24" spans="1:48" ht="15" customHeight="1" thickTop="1" thickBot="1" x14ac:dyDescent="0.35">
      <c r="A24" s="50"/>
      <c r="B24" s="51"/>
      <c r="D24" s="119"/>
      <c r="E24" s="115" t="s">
        <v>16</v>
      </c>
      <c r="F24" s="23"/>
      <c r="G24" s="23"/>
      <c r="H24" s="24" t="e">
        <f t="shared" si="0"/>
        <v>#DIV/0!</v>
      </c>
      <c r="I24" s="33"/>
      <c r="J24" s="21">
        <f t="shared" si="1"/>
        <v>0</v>
      </c>
      <c r="K24" s="24" t="e">
        <f t="shared" si="2"/>
        <v>#DIV/0!</v>
      </c>
      <c r="L24" s="70" t="e">
        <f t="shared" si="3"/>
        <v>#DIV/0!</v>
      </c>
      <c r="M24" s="75" t="e">
        <f t="shared" si="4"/>
        <v>#DIV/0!</v>
      </c>
      <c r="N24" s="1"/>
      <c r="O24" s="28"/>
      <c r="P24" s="19" t="s">
        <v>39</v>
      </c>
      <c r="Q24" s="30">
        <f t="shared" si="5"/>
        <v>-2</v>
      </c>
      <c r="R24" s="38"/>
      <c r="T24" s="42"/>
      <c r="U24" s="42"/>
      <c r="V24" s="42"/>
      <c r="W24" s="42"/>
      <c r="X24" s="42"/>
      <c r="Y24" s="42"/>
      <c r="Z24" s="42"/>
      <c r="AA24" s="42"/>
      <c r="AB24" s="42"/>
      <c r="AO24" s="92" t="s">
        <v>185</v>
      </c>
      <c r="AP24" s="94" t="s">
        <v>186</v>
      </c>
      <c r="AQ24" s="120" t="s">
        <v>187</v>
      </c>
      <c r="AR24" s="94" t="s">
        <v>189</v>
      </c>
      <c r="AS24" s="98" t="s">
        <v>190</v>
      </c>
    </row>
    <row r="25" spans="1:48" ht="15" customHeight="1" thickTop="1" thickBot="1" x14ac:dyDescent="0.35">
      <c r="A25" s="53"/>
      <c r="B25" s="54"/>
      <c r="D25" s="119"/>
      <c r="E25" s="115" t="s">
        <v>16</v>
      </c>
      <c r="F25" s="23"/>
      <c r="G25" s="23"/>
      <c r="H25" s="24" t="e">
        <f t="shared" si="0"/>
        <v>#DIV/0!</v>
      </c>
      <c r="I25" s="33"/>
      <c r="J25" s="21">
        <f t="shared" si="1"/>
        <v>0</v>
      </c>
      <c r="K25" s="24" t="e">
        <f t="shared" si="2"/>
        <v>#DIV/0!</v>
      </c>
      <c r="L25" s="70" t="e">
        <f t="shared" si="3"/>
        <v>#DIV/0!</v>
      </c>
      <c r="M25" s="75" t="e">
        <f t="shared" si="4"/>
        <v>#DIV/0!</v>
      </c>
      <c r="N25" s="1"/>
      <c r="O25" s="28"/>
      <c r="P25" s="19" t="s">
        <v>39</v>
      </c>
      <c r="Q25" s="31">
        <f t="shared" si="5"/>
        <v>-2</v>
      </c>
      <c r="R25" s="38"/>
      <c r="U25" s="59"/>
      <c r="W25" s="60"/>
      <c r="AL25" s="80" t="s">
        <v>242</v>
      </c>
      <c r="AM25" s="12" t="s">
        <v>243</v>
      </c>
      <c r="AO25" s="93">
        <f>COUNTIF(D2:D1048576, "Тотал")</f>
        <v>0</v>
      </c>
      <c r="AP25" s="95">
        <f>COUNTIF(D2:D1048576, "Точный счёт")</f>
        <v>0</v>
      </c>
      <c r="AQ25" s="95">
        <f>COUNTIF(D2:D1048576,"Точный счёт + исход ""Другой""")</f>
        <v>0</v>
      </c>
      <c r="AR25" s="95">
        <f>COUNTIF(D2:D1048576, "Кол-во голов")</f>
        <v>0</v>
      </c>
      <c r="AS25" s="97">
        <f>COUNTIF(D2:D1048576, "Инд. Тотал")</f>
        <v>0</v>
      </c>
    </row>
    <row r="26" spans="1:48" ht="15.75" customHeight="1" thickTop="1" thickBot="1" x14ac:dyDescent="0.35">
      <c r="A26" s="50"/>
      <c r="B26" s="51"/>
      <c r="D26" s="119"/>
      <c r="E26" s="115" t="s">
        <v>16</v>
      </c>
      <c r="F26" s="25"/>
      <c r="G26" s="25"/>
      <c r="H26" s="26" t="e">
        <f>(F26*100)/G26</f>
        <v>#DIV/0!</v>
      </c>
      <c r="I26" s="36"/>
      <c r="J26" s="21">
        <f t="shared" si="1"/>
        <v>0</v>
      </c>
      <c r="K26" s="26" t="e">
        <f t="shared" si="2"/>
        <v>#DIV/0!</v>
      </c>
      <c r="L26" s="72" t="e">
        <f t="shared" si="3"/>
        <v>#DIV/0!</v>
      </c>
      <c r="M26" s="77" t="e">
        <f t="shared" si="4"/>
        <v>#DIV/0!</v>
      </c>
      <c r="N26" s="4"/>
      <c r="O26" s="28"/>
      <c r="P26" s="19" t="s">
        <v>39</v>
      </c>
      <c r="Q26" s="30">
        <f t="shared" si="5"/>
        <v>-2</v>
      </c>
      <c r="R26" s="38"/>
      <c r="AL26" s="139">
        <f>SUM(A2:A71)</f>
        <v>0</v>
      </c>
      <c r="AM26" s="140">
        <f>SUM(B2:B71)</f>
        <v>0</v>
      </c>
      <c r="AO26" s="92" t="s">
        <v>191</v>
      </c>
      <c r="AP26" s="94" t="s">
        <v>192</v>
      </c>
      <c r="AQ26" s="94" t="s">
        <v>193</v>
      </c>
      <c r="AR26" s="94" t="s">
        <v>194</v>
      </c>
      <c r="AS26" s="98" t="s">
        <v>195</v>
      </c>
    </row>
    <row r="27" spans="1:48" ht="15.75" customHeight="1" thickTop="1" thickBot="1" x14ac:dyDescent="0.35">
      <c r="A27" s="50"/>
      <c r="B27" s="51"/>
      <c r="D27" s="119"/>
      <c r="E27" s="115" t="s">
        <v>16</v>
      </c>
      <c r="F27" s="23"/>
      <c r="G27" s="23"/>
      <c r="H27" s="24" t="e">
        <f t="shared" ref="H27:H71" si="6">(F27*100)/G27</f>
        <v>#DIV/0!</v>
      </c>
      <c r="I27" s="33"/>
      <c r="J27" s="21">
        <f t="shared" si="1"/>
        <v>0</v>
      </c>
      <c r="K27" s="24" t="e">
        <f t="shared" si="2"/>
        <v>#DIV/0!</v>
      </c>
      <c r="L27" s="70" t="e">
        <f t="shared" si="3"/>
        <v>#DIV/0!</v>
      </c>
      <c r="M27" s="75" t="e">
        <f t="shared" si="4"/>
        <v>#DIV/0!</v>
      </c>
      <c r="N27" s="1"/>
      <c r="O27" s="28"/>
      <c r="P27" s="19" t="s">
        <v>39</v>
      </c>
      <c r="Q27" s="31">
        <f t="shared" si="5"/>
        <v>-2</v>
      </c>
      <c r="R27" s="38"/>
      <c r="AL27" s="196" t="s">
        <v>244</v>
      </c>
      <c r="AM27" s="197"/>
      <c r="AO27" s="93">
        <f>COUNTIF(D2:D1048576, "Обе команды забьют")</f>
        <v>0</v>
      </c>
      <c r="AP27" s="95">
        <f>COUNTIF(D2:D1048576, "Сколько команд забьёт")</f>
        <v>0</v>
      </c>
      <c r="AQ27" s="95">
        <f>COUNTIF(D2:D1048576, "Кто забьёт 1-й гол")</f>
        <v>0</v>
      </c>
      <c r="AR27" s="95">
        <f>COUNTIF(D2:D1048576, "Кто забьёт последний гол")</f>
        <v>0</v>
      </c>
      <c r="AS27" s="97">
        <f>COUNTIF(D2:D1048576, "Наиболее результативный тайм")</f>
        <v>0</v>
      </c>
    </row>
    <row r="28" spans="1:48" ht="15.75" customHeight="1" thickTop="1" thickBot="1" x14ac:dyDescent="0.35">
      <c r="A28" s="50"/>
      <c r="B28" s="51"/>
      <c r="D28" s="119"/>
      <c r="E28" s="115" t="s">
        <v>16</v>
      </c>
      <c r="F28" s="23"/>
      <c r="G28" s="23"/>
      <c r="H28" s="24" t="e">
        <f t="shared" si="6"/>
        <v>#DIV/0!</v>
      </c>
      <c r="I28" s="33"/>
      <c r="J28" s="21">
        <f t="shared" si="1"/>
        <v>0</v>
      </c>
      <c r="K28" s="24" t="e">
        <f t="shared" si="2"/>
        <v>#DIV/0!</v>
      </c>
      <c r="L28" s="70" t="e">
        <f t="shared" si="3"/>
        <v>#DIV/0!</v>
      </c>
      <c r="M28" s="75" t="e">
        <f t="shared" si="4"/>
        <v>#DIV/0!</v>
      </c>
      <c r="N28" s="1"/>
      <c r="O28" s="28"/>
      <c r="P28" s="19" t="s">
        <v>39</v>
      </c>
      <c r="Q28" s="30">
        <f t="shared" si="5"/>
        <v>-2</v>
      </c>
      <c r="R28" s="38"/>
      <c r="AL28" s="198">
        <f>(AM26-AL26)</f>
        <v>0</v>
      </c>
      <c r="AM28" s="199"/>
      <c r="AO28" s="92" t="s">
        <v>196</v>
      </c>
      <c r="AP28" s="94" t="s">
        <v>197</v>
      </c>
      <c r="AQ28" s="94" t="s">
        <v>198</v>
      </c>
      <c r="AR28" s="94" t="s">
        <v>203</v>
      </c>
      <c r="AS28" s="98" t="s">
        <v>199</v>
      </c>
    </row>
    <row r="29" spans="1:48" ht="15.75" customHeight="1" thickBot="1" x14ac:dyDescent="0.35">
      <c r="A29" s="50"/>
      <c r="B29" s="51"/>
      <c r="D29" s="119"/>
      <c r="E29" s="115" t="s">
        <v>16</v>
      </c>
      <c r="F29" s="23"/>
      <c r="G29" s="23"/>
      <c r="H29" s="24" t="e">
        <f t="shared" si="6"/>
        <v>#DIV/0!</v>
      </c>
      <c r="I29" s="33"/>
      <c r="J29" s="21">
        <f t="shared" si="1"/>
        <v>0</v>
      </c>
      <c r="K29" s="24" t="e">
        <f t="shared" si="2"/>
        <v>#DIV/0!</v>
      </c>
      <c r="L29" s="70" t="e">
        <f t="shared" si="3"/>
        <v>#DIV/0!</v>
      </c>
      <c r="M29" s="75" t="e">
        <f t="shared" si="4"/>
        <v>#DIV/0!</v>
      </c>
      <c r="N29" s="1"/>
      <c r="O29" s="28"/>
      <c r="P29" s="19" t="s">
        <v>39</v>
      </c>
      <c r="Q29" s="31">
        <f t="shared" si="5"/>
        <v>-2</v>
      </c>
      <c r="R29" s="38"/>
      <c r="AO29" s="93">
        <f>COUNTIF(D2:D1048576, "Чет/нечет")</f>
        <v>0</v>
      </c>
      <c r="AP29" s="95">
        <f>COUNTIF(D2:D1048576, "Победитель + Разница мячей")</f>
        <v>0</v>
      </c>
      <c r="AQ29" s="95">
        <f>COUNTIF(D2:D1048576, "Победитель + Обе забьют")</f>
        <v>0</v>
      </c>
      <c r="AR29" s="95">
        <f>COUNTIF(D2:D1048576, "Победитель + Тотал")</f>
        <v>0</v>
      </c>
      <c r="AS29" s="97">
        <f>COUNTIF(D2:D1048576, "Автор гола")</f>
        <v>0</v>
      </c>
    </row>
    <row r="30" spans="1:48" ht="15.75" customHeight="1" thickTop="1" x14ac:dyDescent="0.3">
      <c r="A30" s="50"/>
      <c r="B30" s="51"/>
      <c r="D30" s="119"/>
      <c r="E30" s="115" t="s">
        <v>16</v>
      </c>
      <c r="F30" s="23"/>
      <c r="G30" s="23"/>
      <c r="H30" s="24" t="e">
        <f t="shared" si="6"/>
        <v>#DIV/0!</v>
      </c>
      <c r="I30" s="33"/>
      <c r="J30" s="21">
        <f t="shared" si="1"/>
        <v>0</v>
      </c>
      <c r="K30" s="24" t="e">
        <f t="shared" si="2"/>
        <v>#DIV/0!</v>
      </c>
      <c r="L30" s="70" t="e">
        <f t="shared" si="3"/>
        <v>#DIV/0!</v>
      </c>
      <c r="M30" s="75" t="e">
        <f t="shared" si="4"/>
        <v>#DIV/0!</v>
      </c>
      <c r="N30" s="1"/>
      <c r="O30" s="28"/>
      <c r="P30" s="19" t="s">
        <v>39</v>
      </c>
      <c r="Q30" s="30">
        <f t="shared" si="5"/>
        <v>-2</v>
      </c>
      <c r="R30" s="38"/>
      <c r="AO30" s="92" t="s">
        <v>200</v>
      </c>
      <c r="AP30" s="94" t="s">
        <v>201</v>
      </c>
      <c r="AQ30" s="94"/>
      <c r="AR30" s="94"/>
      <c r="AS30" s="98"/>
    </row>
    <row r="31" spans="1:48" ht="15.75" customHeight="1" thickBot="1" x14ac:dyDescent="0.35">
      <c r="A31" s="50"/>
      <c r="B31" s="54"/>
      <c r="D31" s="119"/>
      <c r="E31" s="115" t="s">
        <v>16</v>
      </c>
      <c r="F31" s="23"/>
      <c r="G31" s="23"/>
      <c r="H31" s="24" t="e">
        <f t="shared" si="6"/>
        <v>#DIV/0!</v>
      </c>
      <c r="I31" s="33"/>
      <c r="J31" s="21">
        <f t="shared" si="1"/>
        <v>0</v>
      </c>
      <c r="K31" s="24" t="e">
        <f t="shared" si="2"/>
        <v>#DIV/0!</v>
      </c>
      <c r="L31" s="70" t="e">
        <f t="shared" si="3"/>
        <v>#DIV/0!</v>
      </c>
      <c r="M31" s="75" t="e">
        <f t="shared" si="4"/>
        <v>#DIV/0!</v>
      </c>
      <c r="N31" s="1"/>
      <c r="O31" s="28"/>
      <c r="P31" s="19" t="s">
        <v>39</v>
      </c>
      <c r="Q31" s="31">
        <f t="shared" si="5"/>
        <v>-2</v>
      </c>
      <c r="R31" s="38"/>
      <c r="AO31" s="121">
        <f>COUNTIF(D2:D1048576, "Лучший бомбардир")</f>
        <v>0</v>
      </c>
      <c r="AP31" s="122">
        <f>COUNTIF(D2:D1048576, "Победитель турнира")</f>
        <v>0</v>
      </c>
      <c r="AQ31" s="122"/>
      <c r="AR31" s="122"/>
      <c r="AS31" s="123"/>
    </row>
    <row r="32" spans="1:48" ht="15.75" customHeight="1" x14ac:dyDescent="0.3">
      <c r="A32" s="55"/>
      <c r="B32" s="51"/>
      <c r="D32" s="119"/>
      <c r="E32" s="115" t="s">
        <v>16</v>
      </c>
      <c r="F32" s="23"/>
      <c r="G32" s="23"/>
      <c r="H32" s="24" t="e">
        <f t="shared" si="6"/>
        <v>#DIV/0!</v>
      </c>
      <c r="I32" s="33"/>
      <c r="J32" s="21">
        <f t="shared" si="1"/>
        <v>0</v>
      </c>
      <c r="K32" s="24" t="e">
        <f t="shared" si="2"/>
        <v>#DIV/0!</v>
      </c>
      <c r="L32" s="70" t="e">
        <f t="shared" si="3"/>
        <v>#DIV/0!</v>
      </c>
      <c r="M32" s="75" t="e">
        <f t="shared" si="4"/>
        <v>#DIV/0!</v>
      </c>
      <c r="N32" s="1"/>
      <c r="O32" s="28"/>
      <c r="P32" s="19" t="s">
        <v>39</v>
      </c>
      <c r="Q32" s="30">
        <f t="shared" si="5"/>
        <v>-2</v>
      </c>
      <c r="R32" s="38"/>
    </row>
    <row r="33" spans="1:18" ht="15" customHeight="1" x14ac:dyDescent="0.3">
      <c r="A33" s="50"/>
      <c r="B33" s="49"/>
      <c r="D33" s="119"/>
      <c r="E33" s="115" t="s">
        <v>16</v>
      </c>
      <c r="F33" s="23"/>
      <c r="G33" s="23"/>
      <c r="H33" s="24" t="e">
        <f t="shared" si="6"/>
        <v>#DIV/0!</v>
      </c>
      <c r="I33" s="33"/>
      <c r="J33" s="21">
        <f t="shared" si="1"/>
        <v>0</v>
      </c>
      <c r="K33" s="24" t="e">
        <f t="shared" si="2"/>
        <v>#DIV/0!</v>
      </c>
      <c r="L33" s="70" t="e">
        <f t="shared" si="3"/>
        <v>#DIV/0!</v>
      </c>
      <c r="M33" s="75" t="e">
        <f t="shared" si="4"/>
        <v>#DIV/0!</v>
      </c>
      <c r="N33" s="1"/>
      <c r="O33" s="28"/>
      <c r="P33" s="19" t="s">
        <v>39</v>
      </c>
      <c r="Q33" s="30">
        <f t="shared" si="5"/>
        <v>-2</v>
      </c>
      <c r="R33" s="38"/>
    </row>
    <row r="34" spans="1:18" ht="15" customHeight="1" x14ac:dyDescent="0.3">
      <c r="A34" s="50"/>
      <c r="B34" s="51"/>
      <c r="D34" s="119"/>
      <c r="E34" s="115" t="s">
        <v>16</v>
      </c>
      <c r="F34" s="23"/>
      <c r="G34" s="23"/>
      <c r="H34" s="24" t="e">
        <f t="shared" si="6"/>
        <v>#DIV/0!</v>
      </c>
      <c r="I34" s="33"/>
      <c r="J34" s="21">
        <f t="shared" si="1"/>
        <v>0</v>
      </c>
      <c r="K34" s="24" t="e">
        <f t="shared" si="2"/>
        <v>#DIV/0!</v>
      </c>
      <c r="L34" s="70" t="e">
        <f t="shared" si="3"/>
        <v>#DIV/0!</v>
      </c>
      <c r="M34" s="75" t="e">
        <f t="shared" si="4"/>
        <v>#DIV/0!</v>
      </c>
      <c r="N34" s="1"/>
      <c r="O34" s="28"/>
      <c r="P34" s="19" t="s">
        <v>39</v>
      </c>
      <c r="Q34" s="30">
        <f t="shared" si="5"/>
        <v>-2</v>
      </c>
      <c r="R34" s="38"/>
    </row>
    <row r="35" spans="1:18" ht="15" customHeight="1" x14ac:dyDescent="0.3">
      <c r="A35" s="50"/>
      <c r="B35" s="51"/>
      <c r="D35" s="119"/>
      <c r="E35" s="115" t="s">
        <v>16</v>
      </c>
      <c r="F35" s="23"/>
      <c r="G35" s="23"/>
      <c r="H35" s="24" t="e">
        <f t="shared" si="6"/>
        <v>#DIV/0!</v>
      </c>
      <c r="I35" s="33"/>
      <c r="J35" s="21">
        <f t="shared" si="1"/>
        <v>0</v>
      </c>
      <c r="K35" s="24" t="e">
        <f t="shared" si="2"/>
        <v>#DIV/0!</v>
      </c>
      <c r="L35" s="70" t="e">
        <f t="shared" si="3"/>
        <v>#DIV/0!</v>
      </c>
      <c r="M35" s="75" t="e">
        <f t="shared" si="4"/>
        <v>#DIV/0!</v>
      </c>
      <c r="N35" s="1"/>
      <c r="O35" s="28"/>
      <c r="P35" s="19" t="s">
        <v>39</v>
      </c>
      <c r="Q35" s="30">
        <f t="shared" si="5"/>
        <v>-2</v>
      </c>
      <c r="R35" s="38"/>
    </row>
    <row r="36" spans="1:18" ht="15" customHeight="1" x14ac:dyDescent="0.3">
      <c r="A36" s="50"/>
      <c r="B36" s="51"/>
      <c r="D36" s="119"/>
      <c r="E36" s="115" t="s">
        <v>16</v>
      </c>
      <c r="F36" s="23"/>
      <c r="G36" s="23"/>
      <c r="H36" s="24" t="e">
        <f t="shared" si="6"/>
        <v>#DIV/0!</v>
      </c>
      <c r="I36" s="33"/>
      <c r="J36" s="21">
        <f t="shared" si="1"/>
        <v>0</v>
      </c>
      <c r="K36" s="24" t="e">
        <f t="shared" si="2"/>
        <v>#DIV/0!</v>
      </c>
      <c r="L36" s="70" t="e">
        <f t="shared" si="3"/>
        <v>#DIV/0!</v>
      </c>
      <c r="M36" s="75" t="e">
        <f t="shared" si="4"/>
        <v>#DIV/0!</v>
      </c>
      <c r="N36" s="1"/>
      <c r="O36" s="28"/>
      <c r="P36" s="19" t="s">
        <v>39</v>
      </c>
      <c r="Q36" s="30">
        <f t="shared" si="5"/>
        <v>-2</v>
      </c>
      <c r="R36" s="38"/>
    </row>
    <row r="37" spans="1:18" ht="15" customHeight="1" x14ac:dyDescent="0.3">
      <c r="A37" s="50"/>
      <c r="B37" s="51"/>
      <c r="D37" s="119"/>
      <c r="E37" s="115" t="s">
        <v>16</v>
      </c>
      <c r="F37" s="23"/>
      <c r="G37" s="23"/>
      <c r="H37" s="24" t="e">
        <f t="shared" si="6"/>
        <v>#DIV/0!</v>
      </c>
      <c r="I37" s="33"/>
      <c r="J37" s="21">
        <f t="shared" si="1"/>
        <v>0</v>
      </c>
      <c r="K37" s="24" t="e">
        <f t="shared" si="2"/>
        <v>#DIV/0!</v>
      </c>
      <c r="L37" s="70" t="e">
        <f t="shared" si="3"/>
        <v>#DIV/0!</v>
      </c>
      <c r="M37" s="75" t="e">
        <f t="shared" si="4"/>
        <v>#DIV/0!</v>
      </c>
      <c r="N37" s="1"/>
      <c r="O37" s="28"/>
      <c r="P37" s="19" t="s">
        <v>39</v>
      </c>
      <c r="Q37" s="30">
        <f t="shared" si="5"/>
        <v>-2</v>
      </c>
      <c r="R37" s="38"/>
    </row>
    <row r="38" spans="1:18" ht="15" customHeight="1" x14ac:dyDescent="0.3">
      <c r="A38" s="50"/>
      <c r="B38" s="51"/>
      <c r="D38" s="119"/>
      <c r="E38" s="115" t="s">
        <v>16</v>
      </c>
      <c r="F38" s="23"/>
      <c r="G38" s="23"/>
      <c r="H38" s="24" t="e">
        <f t="shared" si="6"/>
        <v>#DIV/0!</v>
      </c>
      <c r="I38" s="33"/>
      <c r="J38" s="21">
        <f t="shared" si="1"/>
        <v>0</v>
      </c>
      <c r="K38" s="24" t="e">
        <f t="shared" si="2"/>
        <v>#DIV/0!</v>
      </c>
      <c r="L38" s="70" t="e">
        <f t="shared" si="3"/>
        <v>#DIV/0!</v>
      </c>
      <c r="M38" s="75" t="e">
        <f t="shared" si="4"/>
        <v>#DIV/0!</v>
      </c>
      <c r="N38" s="1"/>
      <c r="O38" s="28"/>
      <c r="P38" s="19" t="s">
        <v>39</v>
      </c>
      <c r="Q38" s="30">
        <f t="shared" si="5"/>
        <v>-2</v>
      </c>
      <c r="R38" s="38"/>
    </row>
    <row r="39" spans="1:18" ht="15" customHeight="1" x14ac:dyDescent="0.3">
      <c r="A39" s="50"/>
      <c r="B39" s="51"/>
      <c r="D39" s="119"/>
      <c r="E39" s="115" t="s">
        <v>16</v>
      </c>
      <c r="F39" s="23"/>
      <c r="G39" s="23"/>
      <c r="H39" s="24" t="e">
        <f t="shared" si="6"/>
        <v>#DIV/0!</v>
      </c>
      <c r="I39" s="33"/>
      <c r="J39" s="21">
        <f t="shared" si="1"/>
        <v>0</v>
      </c>
      <c r="K39" s="24" t="e">
        <f t="shared" si="2"/>
        <v>#DIV/0!</v>
      </c>
      <c r="L39" s="70" t="e">
        <f t="shared" si="3"/>
        <v>#DIV/0!</v>
      </c>
      <c r="M39" s="75" t="e">
        <f t="shared" si="4"/>
        <v>#DIV/0!</v>
      </c>
      <c r="N39" s="1"/>
      <c r="O39" s="28"/>
      <c r="P39" s="19" t="s">
        <v>39</v>
      </c>
      <c r="Q39" s="30">
        <f t="shared" si="5"/>
        <v>-2</v>
      </c>
      <c r="R39" s="38"/>
    </row>
    <row r="40" spans="1:18" ht="15" customHeight="1" x14ac:dyDescent="0.3">
      <c r="A40" s="50"/>
      <c r="B40" s="51"/>
      <c r="D40" s="119"/>
      <c r="E40" s="115" t="s">
        <v>16</v>
      </c>
      <c r="F40" s="23"/>
      <c r="G40" s="23"/>
      <c r="H40" s="24" t="e">
        <f t="shared" si="6"/>
        <v>#DIV/0!</v>
      </c>
      <c r="I40" s="33"/>
      <c r="J40" s="21">
        <f t="shared" si="1"/>
        <v>0</v>
      </c>
      <c r="K40" s="24" t="e">
        <f t="shared" si="2"/>
        <v>#DIV/0!</v>
      </c>
      <c r="L40" s="70" t="e">
        <f t="shared" si="3"/>
        <v>#DIV/0!</v>
      </c>
      <c r="M40" s="75" t="e">
        <f t="shared" si="4"/>
        <v>#DIV/0!</v>
      </c>
      <c r="N40" s="1"/>
      <c r="O40" s="28"/>
      <c r="P40" s="19" t="s">
        <v>39</v>
      </c>
      <c r="Q40" s="30">
        <f t="shared" si="5"/>
        <v>-2</v>
      </c>
      <c r="R40" s="38"/>
    </row>
    <row r="41" spans="1:18" ht="15" customHeight="1" x14ac:dyDescent="0.3">
      <c r="A41" s="50"/>
      <c r="B41" s="51"/>
      <c r="D41" s="119"/>
      <c r="E41" s="115" t="s">
        <v>16</v>
      </c>
      <c r="F41" s="23"/>
      <c r="G41" s="23"/>
      <c r="H41" s="24" t="e">
        <f t="shared" si="6"/>
        <v>#DIV/0!</v>
      </c>
      <c r="I41" s="33"/>
      <c r="J41" s="21">
        <f t="shared" si="1"/>
        <v>0</v>
      </c>
      <c r="K41" s="24" t="e">
        <f t="shared" si="2"/>
        <v>#DIV/0!</v>
      </c>
      <c r="L41" s="70" t="e">
        <f t="shared" si="3"/>
        <v>#DIV/0!</v>
      </c>
      <c r="M41" s="75" t="e">
        <f t="shared" si="4"/>
        <v>#DIV/0!</v>
      </c>
      <c r="N41" s="1"/>
      <c r="O41" s="28"/>
      <c r="P41" s="19" t="s">
        <v>39</v>
      </c>
      <c r="Q41" s="30">
        <f t="shared" si="5"/>
        <v>-2</v>
      </c>
      <c r="R41" s="38"/>
    </row>
    <row r="42" spans="1:18" ht="15" customHeight="1" x14ac:dyDescent="0.3">
      <c r="A42" s="50"/>
      <c r="B42" s="51"/>
      <c r="D42" s="119"/>
      <c r="E42" s="115" t="s">
        <v>16</v>
      </c>
      <c r="F42" s="23"/>
      <c r="G42" s="23"/>
      <c r="H42" s="24" t="e">
        <f t="shared" si="6"/>
        <v>#DIV/0!</v>
      </c>
      <c r="I42" s="33"/>
      <c r="J42" s="21">
        <f t="shared" si="1"/>
        <v>0</v>
      </c>
      <c r="K42" s="24" t="e">
        <f t="shared" si="2"/>
        <v>#DIV/0!</v>
      </c>
      <c r="L42" s="70" t="e">
        <f t="shared" si="3"/>
        <v>#DIV/0!</v>
      </c>
      <c r="M42" s="75" t="e">
        <f t="shared" si="4"/>
        <v>#DIV/0!</v>
      </c>
      <c r="N42" s="1"/>
      <c r="O42" s="28"/>
      <c r="P42" s="19" t="s">
        <v>39</v>
      </c>
      <c r="Q42" s="30">
        <f t="shared" si="5"/>
        <v>-2</v>
      </c>
      <c r="R42" s="38"/>
    </row>
    <row r="43" spans="1:18" ht="15" customHeight="1" x14ac:dyDescent="0.3">
      <c r="A43" s="50"/>
      <c r="B43" s="51"/>
      <c r="D43" s="119"/>
      <c r="E43" s="115" t="s">
        <v>16</v>
      </c>
      <c r="F43" s="23"/>
      <c r="G43" s="23"/>
      <c r="H43" s="24" t="e">
        <f t="shared" si="6"/>
        <v>#DIV/0!</v>
      </c>
      <c r="I43" s="33"/>
      <c r="J43" s="21">
        <f t="shared" si="1"/>
        <v>0</v>
      </c>
      <c r="K43" s="24" t="e">
        <f t="shared" si="2"/>
        <v>#DIV/0!</v>
      </c>
      <c r="L43" s="70" t="e">
        <f t="shared" si="3"/>
        <v>#DIV/0!</v>
      </c>
      <c r="M43" s="75" t="e">
        <f t="shared" si="4"/>
        <v>#DIV/0!</v>
      </c>
      <c r="N43" s="1"/>
      <c r="O43" s="28"/>
      <c r="P43" s="19" t="s">
        <v>39</v>
      </c>
      <c r="Q43" s="30">
        <f t="shared" si="5"/>
        <v>-2</v>
      </c>
      <c r="R43" s="38"/>
    </row>
    <row r="44" spans="1:18" ht="15" customHeight="1" x14ac:dyDescent="0.3">
      <c r="A44" s="50"/>
      <c r="B44" s="51"/>
      <c r="D44" s="119"/>
      <c r="E44" s="115" t="s">
        <v>16</v>
      </c>
      <c r="F44" s="23"/>
      <c r="G44" s="23"/>
      <c r="H44" s="24" t="e">
        <f t="shared" si="6"/>
        <v>#DIV/0!</v>
      </c>
      <c r="I44" s="33"/>
      <c r="J44" s="21">
        <f t="shared" si="1"/>
        <v>0</v>
      </c>
      <c r="K44" s="24" t="e">
        <f t="shared" si="2"/>
        <v>#DIV/0!</v>
      </c>
      <c r="L44" s="70" t="e">
        <f t="shared" si="3"/>
        <v>#DIV/0!</v>
      </c>
      <c r="M44" s="75" t="e">
        <f t="shared" si="4"/>
        <v>#DIV/0!</v>
      </c>
      <c r="N44" s="1"/>
      <c r="O44" s="28"/>
      <c r="P44" s="19" t="s">
        <v>39</v>
      </c>
      <c r="Q44" s="30">
        <f t="shared" si="5"/>
        <v>-2</v>
      </c>
      <c r="R44" s="38"/>
    </row>
    <row r="45" spans="1:18" x14ac:dyDescent="0.3">
      <c r="A45" s="50"/>
      <c r="B45" s="51"/>
      <c r="D45" s="119"/>
      <c r="E45" s="115" t="s">
        <v>16</v>
      </c>
      <c r="F45" s="23"/>
      <c r="G45" s="23"/>
      <c r="H45" s="24" t="e">
        <f t="shared" si="6"/>
        <v>#DIV/0!</v>
      </c>
      <c r="I45" s="33"/>
      <c r="J45" s="21">
        <f t="shared" si="1"/>
        <v>0</v>
      </c>
      <c r="K45" s="24" t="e">
        <f t="shared" si="2"/>
        <v>#DIV/0!</v>
      </c>
      <c r="L45" s="70" t="e">
        <f t="shared" si="3"/>
        <v>#DIV/0!</v>
      </c>
      <c r="M45" s="75" t="e">
        <f t="shared" si="4"/>
        <v>#DIV/0!</v>
      </c>
      <c r="N45" s="1"/>
      <c r="O45" s="28"/>
      <c r="P45" s="19" t="s">
        <v>39</v>
      </c>
      <c r="Q45" s="30">
        <f t="shared" si="5"/>
        <v>-2</v>
      </c>
      <c r="R45" s="38"/>
    </row>
    <row r="46" spans="1:18" x14ac:dyDescent="0.3">
      <c r="A46" s="50"/>
      <c r="B46" s="51"/>
      <c r="D46" s="119"/>
      <c r="E46" s="115" t="s">
        <v>16</v>
      </c>
      <c r="F46" s="23"/>
      <c r="G46" s="23"/>
      <c r="H46" s="24" t="e">
        <f t="shared" si="6"/>
        <v>#DIV/0!</v>
      </c>
      <c r="I46" s="33"/>
      <c r="J46" s="21">
        <f t="shared" si="1"/>
        <v>0</v>
      </c>
      <c r="K46" s="24" t="e">
        <f t="shared" si="2"/>
        <v>#DIV/0!</v>
      </c>
      <c r="L46" s="70" t="e">
        <f t="shared" si="3"/>
        <v>#DIV/0!</v>
      </c>
      <c r="M46" s="75" t="e">
        <f t="shared" si="4"/>
        <v>#DIV/0!</v>
      </c>
      <c r="N46" s="1"/>
      <c r="O46" s="28"/>
      <c r="P46" s="19" t="s">
        <v>39</v>
      </c>
      <c r="Q46" s="30">
        <f t="shared" si="5"/>
        <v>-2</v>
      </c>
      <c r="R46" s="38"/>
    </row>
    <row r="47" spans="1:18" x14ac:dyDescent="0.3">
      <c r="A47" s="50"/>
      <c r="B47" s="51"/>
      <c r="D47" s="119"/>
      <c r="E47" s="115" t="s">
        <v>16</v>
      </c>
      <c r="F47" s="23"/>
      <c r="G47" s="23"/>
      <c r="H47" s="24" t="e">
        <f t="shared" si="6"/>
        <v>#DIV/0!</v>
      </c>
      <c r="I47" s="33"/>
      <c r="J47" s="21">
        <f t="shared" si="1"/>
        <v>0</v>
      </c>
      <c r="K47" s="24" t="e">
        <f t="shared" si="2"/>
        <v>#DIV/0!</v>
      </c>
      <c r="L47" s="70" t="e">
        <f t="shared" si="3"/>
        <v>#DIV/0!</v>
      </c>
      <c r="M47" s="75" t="e">
        <f t="shared" si="4"/>
        <v>#DIV/0!</v>
      </c>
      <c r="N47" s="1"/>
      <c r="O47" s="28"/>
      <c r="P47" s="19" t="s">
        <v>39</v>
      </c>
      <c r="Q47" s="30">
        <f t="shared" si="5"/>
        <v>-2</v>
      </c>
      <c r="R47" s="38"/>
    </row>
    <row r="48" spans="1:18" x14ac:dyDescent="0.3">
      <c r="A48" s="50"/>
      <c r="B48" s="51"/>
      <c r="D48" s="119"/>
      <c r="E48" s="115" t="s">
        <v>16</v>
      </c>
      <c r="F48" s="23"/>
      <c r="G48" s="23"/>
      <c r="H48" s="24" t="e">
        <f t="shared" si="6"/>
        <v>#DIV/0!</v>
      </c>
      <c r="I48" s="33"/>
      <c r="J48" s="21">
        <f t="shared" si="1"/>
        <v>0</v>
      </c>
      <c r="K48" s="24" t="e">
        <f t="shared" si="2"/>
        <v>#DIV/0!</v>
      </c>
      <c r="L48" s="70" t="e">
        <f t="shared" si="3"/>
        <v>#DIV/0!</v>
      </c>
      <c r="M48" s="75" t="e">
        <f t="shared" si="4"/>
        <v>#DIV/0!</v>
      </c>
      <c r="N48" s="1"/>
      <c r="O48" s="28"/>
      <c r="P48" s="19" t="s">
        <v>39</v>
      </c>
      <c r="Q48" s="30">
        <f t="shared" si="5"/>
        <v>-2</v>
      </c>
      <c r="R48" s="38"/>
    </row>
    <row r="49" spans="1:18" x14ac:dyDescent="0.3">
      <c r="A49" s="53"/>
      <c r="B49" s="54"/>
      <c r="D49" s="119"/>
      <c r="E49" s="115" t="s">
        <v>16</v>
      </c>
      <c r="F49" s="23"/>
      <c r="G49" s="23"/>
      <c r="H49" s="24" t="e">
        <f t="shared" si="6"/>
        <v>#DIV/0!</v>
      </c>
      <c r="I49" s="33"/>
      <c r="J49" s="21">
        <f t="shared" si="1"/>
        <v>0</v>
      </c>
      <c r="K49" s="24" t="e">
        <f t="shared" si="2"/>
        <v>#DIV/0!</v>
      </c>
      <c r="L49" s="70" t="e">
        <f t="shared" si="3"/>
        <v>#DIV/0!</v>
      </c>
      <c r="M49" s="75" t="e">
        <f t="shared" si="4"/>
        <v>#DIV/0!</v>
      </c>
      <c r="N49" s="1"/>
      <c r="O49" s="28"/>
      <c r="P49" s="19" t="s">
        <v>39</v>
      </c>
      <c r="Q49" s="30">
        <f t="shared" si="5"/>
        <v>-2</v>
      </c>
      <c r="R49" s="38"/>
    </row>
    <row r="50" spans="1:18" x14ac:dyDescent="0.3">
      <c r="A50" s="50"/>
      <c r="B50" s="51"/>
      <c r="D50" s="119"/>
      <c r="E50" s="115" t="s">
        <v>16</v>
      </c>
      <c r="F50" s="23"/>
      <c r="G50" s="23"/>
      <c r="H50" s="24" t="e">
        <f t="shared" si="6"/>
        <v>#DIV/0!</v>
      </c>
      <c r="I50" s="33"/>
      <c r="J50" s="21">
        <f t="shared" si="1"/>
        <v>0</v>
      </c>
      <c r="K50" s="24" t="e">
        <f t="shared" si="2"/>
        <v>#DIV/0!</v>
      </c>
      <c r="L50" s="70" t="e">
        <f t="shared" si="3"/>
        <v>#DIV/0!</v>
      </c>
      <c r="M50" s="75" t="e">
        <f t="shared" si="4"/>
        <v>#DIV/0!</v>
      </c>
      <c r="N50" s="1"/>
      <c r="O50" s="28"/>
      <c r="P50" s="19" t="s">
        <v>39</v>
      </c>
      <c r="Q50" s="30">
        <f t="shared" si="5"/>
        <v>-2</v>
      </c>
      <c r="R50" s="38"/>
    </row>
    <row r="51" spans="1:18" x14ac:dyDescent="0.3">
      <c r="A51" s="48"/>
      <c r="B51" s="49"/>
      <c r="D51" s="119"/>
      <c r="E51" s="115" t="s">
        <v>16</v>
      </c>
      <c r="F51" s="23"/>
      <c r="G51" s="23"/>
      <c r="H51" s="24" t="e">
        <f t="shared" si="6"/>
        <v>#DIV/0!</v>
      </c>
      <c r="I51" s="33"/>
      <c r="J51" s="21">
        <f t="shared" si="1"/>
        <v>0</v>
      </c>
      <c r="K51" s="24" t="e">
        <f t="shared" si="2"/>
        <v>#DIV/0!</v>
      </c>
      <c r="L51" s="70" t="e">
        <f t="shared" si="3"/>
        <v>#DIV/0!</v>
      </c>
      <c r="M51" s="75" t="e">
        <f t="shared" si="4"/>
        <v>#DIV/0!</v>
      </c>
      <c r="N51" s="1"/>
      <c r="O51" s="28"/>
      <c r="P51" s="19" t="s">
        <v>39</v>
      </c>
      <c r="Q51" s="30">
        <f t="shared" si="5"/>
        <v>-2</v>
      </c>
      <c r="R51" s="38"/>
    </row>
    <row r="52" spans="1:18" x14ac:dyDescent="0.3">
      <c r="A52" s="64"/>
      <c r="B52" s="65"/>
      <c r="D52" s="119"/>
      <c r="E52" s="115" t="s">
        <v>16</v>
      </c>
      <c r="F52" s="23"/>
      <c r="G52" s="23"/>
      <c r="H52" s="24" t="e">
        <f t="shared" si="6"/>
        <v>#DIV/0!</v>
      </c>
      <c r="I52" s="33"/>
      <c r="J52" s="21">
        <f t="shared" si="1"/>
        <v>0</v>
      </c>
      <c r="K52" s="24" t="e">
        <f t="shared" si="2"/>
        <v>#DIV/0!</v>
      </c>
      <c r="L52" s="70" t="e">
        <f t="shared" si="3"/>
        <v>#DIV/0!</v>
      </c>
      <c r="M52" s="75" t="e">
        <f t="shared" si="4"/>
        <v>#DIV/0!</v>
      </c>
      <c r="N52" s="1"/>
      <c r="O52" s="28"/>
      <c r="P52" s="19" t="s">
        <v>39</v>
      </c>
      <c r="Q52" s="30">
        <f t="shared" si="5"/>
        <v>-2</v>
      </c>
      <c r="R52" s="38"/>
    </row>
    <row r="53" spans="1:18" x14ac:dyDescent="0.3">
      <c r="A53" s="64"/>
      <c r="B53" s="65"/>
      <c r="D53" s="119"/>
      <c r="E53" s="115" t="s">
        <v>16</v>
      </c>
      <c r="F53" s="23"/>
      <c r="G53" s="23"/>
      <c r="H53" s="24" t="e">
        <f t="shared" si="6"/>
        <v>#DIV/0!</v>
      </c>
      <c r="I53" s="33"/>
      <c r="J53" s="21">
        <f t="shared" si="1"/>
        <v>0</v>
      </c>
      <c r="K53" s="24" t="e">
        <f t="shared" si="2"/>
        <v>#DIV/0!</v>
      </c>
      <c r="L53" s="70" t="e">
        <f t="shared" si="3"/>
        <v>#DIV/0!</v>
      </c>
      <c r="M53" s="75" t="e">
        <f t="shared" si="4"/>
        <v>#DIV/0!</v>
      </c>
      <c r="N53" s="1"/>
      <c r="O53" s="28"/>
      <c r="P53" s="19" t="s">
        <v>39</v>
      </c>
      <c r="Q53" s="30">
        <f t="shared" si="5"/>
        <v>-2</v>
      </c>
      <c r="R53" s="38"/>
    </row>
    <row r="54" spans="1:18" x14ac:dyDescent="0.3">
      <c r="A54" s="64"/>
      <c r="B54" s="65"/>
      <c r="D54" s="119"/>
      <c r="E54" s="115" t="s">
        <v>16</v>
      </c>
      <c r="F54" s="23"/>
      <c r="G54" s="23"/>
      <c r="H54" s="24" t="e">
        <f t="shared" si="6"/>
        <v>#DIV/0!</v>
      </c>
      <c r="I54" s="33"/>
      <c r="J54" s="21">
        <f t="shared" si="1"/>
        <v>0</v>
      </c>
      <c r="K54" s="24" t="e">
        <f t="shared" si="2"/>
        <v>#DIV/0!</v>
      </c>
      <c r="L54" s="70" t="e">
        <f t="shared" si="3"/>
        <v>#DIV/0!</v>
      </c>
      <c r="M54" s="75" t="e">
        <f t="shared" si="4"/>
        <v>#DIV/0!</v>
      </c>
      <c r="N54" s="1"/>
      <c r="O54" s="28"/>
      <c r="P54" s="19" t="s">
        <v>39</v>
      </c>
      <c r="Q54" s="30">
        <f t="shared" si="5"/>
        <v>-2</v>
      </c>
      <c r="R54" s="38"/>
    </row>
    <row r="55" spans="1:18" x14ac:dyDescent="0.3">
      <c r="A55" s="64"/>
      <c r="B55" s="65"/>
      <c r="D55" s="119"/>
      <c r="E55" s="115" t="s">
        <v>16</v>
      </c>
      <c r="F55" s="23"/>
      <c r="G55" s="23"/>
      <c r="H55" s="24" t="e">
        <f t="shared" si="6"/>
        <v>#DIV/0!</v>
      </c>
      <c r="I55" s="33"/>
      <c r="J55" s="21">
        <f t="shared" si="1"/>
        <v>0</v>
      </c>
      <c r="K55" s="24" t="e">
        <f t="shared" si="2"/>
        <v>#DIV/0!</v>
      </c>
      <c r="L55" s="70" t="e">
        <f t="shared" si="3"/>
        <v>#DIV/0!</v>
      </c>
      <c r="M55" s="75" t="e">
        <f t="shared" si="4"/>
        <v>#DIV/0!</v>
      </c>
      <c r="N55" s="1"/>
      <c r="O55" s="28"/>
      <c r="P55" s="19" t="s">
        <v>39</v>
      </c>
      <c r="Q55" s="30">
        <f t="shared" si="5"/>
        <v>-2</v>
      </c>
      <c r="R55" s="38"/>
    </row>
    <row r="56" spans="1:18" x14ac:dyDescent="0.3">
      <c r="A56" s="64"/>
      <c r="B56" s="65"/>
      <c r="D56" s="119"/>
      <c r="E56" s="115" t="s">
        <v>16</v>
      </c>
      <c r="F56" s="23"/>
      <c r="G56" s="23"/>
      <c r="H56" s="24" t="e">
        <f t="shared" si="6"/>
        <v>#DIV/0!</v>
      </c>
      <c r="I56" s="33"/>
      <c r="J56" s="21">
        <f t="shared" si="1"/>
        <v>0</v>
      </c>
      <c r="K56" s="24" t="e">
        <f t="shared" si="2"/>
        <v>#DIV/0!</v>
      </c>
      <c r="L56" s="70" t="e">
        <f t="shared" si="3"/>
        <v>#DIV/0!</v>
      </c>
      <c r="M56" s="75" t="e">
        <f t="shared" si="4"/>
        <v>#DIV/0!</v>
      </c>
      <c r="N56" s="1"/>
      <c r="O56" s="28"/>
      <c r="P56" s="19" t="s">
        <v>39</v>
      </c>
      <c r="Q56" s="30">
        <f t="shared" si="5"/>
        <v>-2</v>
      </c>
      <c r="R56" s="38"/>
    </row>
    <row r="57" spans="1:18" x14ac:dyDescent="0.3">
      <c r="A57" s="64"/>
      <c r="B57" s="65"/>
      <c r="D57" s="119"/>
      <c r="E57" s="115" t="s">
        <v>16</v>
      </c>
      <c r="F57" s="23"/>
      <c r="G57" s="23"/>
      <c r="H57" s="24" t="e">
        <f t="shared" si="6"/>
        <v>#DIV/0!</v>
      </c>
      <c r="I57" s="33"/>
      <c r="J57" s="21">
        <f t="shared" si="1"/>
        <v>0</v>
      </c>
      <c r="K57" s="24" t="e">
        <f t="shared" si="2"/>
        <v>#DIV/0!</v>
      </c>
      <c r="L57" s="70" t="e">
        <f t="shared" si="3"/>
        <v>#DIV/0!</v>
      </c>
      <c r="M57" s="75" t="e">
        <f t="shared" si="4"/>
        <v>#DIV/0!</v>
      </c>
      <c r="N57" s="1"/>
      <c r="O57" s="28"/>
      <c r="P57" s="19" t="s">
        <v>39</v>
      </c>
      <c r="Q57" s="30">
        <f t="shared" si="5"/>
        <v>-2</v>
      </c>
      <c r="R57" s="38"/>
    </row>
    <row r="58" spans="1:18" x14ac:dyDescent="0.3">
      <c r="A58" s="64"/>
      <c r="B58" s="65"/>
      <c r="D58" s="119"/>
      <c r="E58" s="115" t="s">
        <v>16</v>
      </c>
      <c r="F58" s="23"/>
      <c r="G58" s="23"/>
      <c r="H58" s="24" t="e">
        <f t="shared" si="6"/>
        <v>#DIV/0!</v>
      </c>
      <c r="I58" s="33"/>
      <c r="J58" s="21">
        <f t="shared" si="1"/>
        <v>0</v>
      </c>
      <c r="K58" s="24" t="e">
        <f t="shared" si="2"/>
        <v>#DIV/0!</v>
      </c>
      <c r="L58" s="70" t="e">
        <f t="shared" si="3"/>
        <v>#DIV/0!</v>
      </c>
      <c r="M58" s="75" t="e">
        <f t="shared" si="4"/>
        <v>#DIV/0!</v>
      </c>
      <c r="N58" s="1"/>
      <c r="O58" s="28"/>
      <c r="P58" s="19" t="s">
        <v>39</v>
      </c>
      <c r="Q58" s="30">
        <f t="shared" si="5"/>
        <v>-2</v>
      </c>
      <c r="R58" s="38"/>
    </row>
    <row r="59" spans="1:18" x14ac:dyDescent="0.3">
      <c r="A59" s="64"/>
      <c r="B59" s="65"/>
      <c r="D59" s="119"/>
      <c r="E59" s="115" t="s">
        <v>16</v>
      </c>
      <c r="F59" s="23"/>
      <c r="G59" s="23"/>
      <c r="H59" s="24" t="e">
        <f t="shared" si="6"/>
        <v>#DIV/0!</v>
      </c>
      <c r="I59" s="33"/>
      <c r="J59" s="21">
        <f t="shared" si="1"/>
        <v>0</v>
      </c>
      <c r="K59" s="24" t="e">
        <f t="shared" si="2"/>
        <v>#DIV/0!</v>
      </c>
      <c r="L59" s="70" t="e">
        <f t="shared" si="3"/>
        <v>#DIV/0!</v>
      </c>
      <c r="M59" s="75" t="e">
        <f t="shared" si="4"/>
        <v>#DIV/0!</v>
      </c>
      <c r="N59" s="1"/>
      <c r="O59" s="28"/>
      <c r="P59" s="19" t="s">
        <v>39</v>
      </c>
      <c r="Q59" s="30">
        <f t="shared" si="5"/>
        <v>-2</v>
      </c>
      <c r="R59" s="38"/>
    </row>
    <row r="60" spans="1:18" x14ac:dyDescent="0.3">
      <c r="A60" s="64"/>
      <c r="B60" s="65"/>
      <c r="D60" s="119"/>
      <c r="E60" s="115" t="s">
        <v>16</v>
      </c>
      <c r="F60" s="23"/>
      <c r="G60" s="23"/>
      <c r="H60" s="24" t="e">
        <f t="shared" si="6"/>
        <v>#DIV/0!</v>
      </c>
      <c r="I60" s="33"/>
      <c r="J60" s="21">
        <f t="shared" si="1"/>
        <v>0</v>
      </c>
      <c r="K60" s="24" t="e">
        <f t="shared" si="2"/>
        <v>#DIV/0!</v>
      </c>
      <c r="L60" s="70" t="e">
        <f t="shared" si="3"/>
        <v>#DIV/0!</v>
      </c>
      <c r="M60" s="75" t="e">
        <f t="shared" si="4"/>
        <v>#DIV/0!</v>
      </c>
      <c r="N60" s="1"/>
      <c r="O60" s="28"/>
      <c r="P60" s="19" t="s">
        <v>39</v>
      </c>
      <c r="Q60" s="30">
        <f t="shared" si="5"/>
        <v>-2</v>
      </c>
      <c r="R60" s="38"/>
    </row>
    <row r="61" spans="1:18" x14ac:dyDescent="0.3">
      <c r="A61" s="64"/>
      <c r="B61" s="65"/>
      <c r="D61" s="119"/>
      <c r="E61" s="115" t="s">
        <v>16</v>
      </c>
      <c r="F61" s="23"/>
      <c r="G61" s="23"/>
      <c r="H61" s="24" t="e">
        <f t="shared" si="6"/>
        <v>#DIV/0!</v>
      </c>
      <c r="I61" s="33"/>
      <c r="J61" s="21">
        <f t="shared" si="1"/>
        <v>0</v>
      </c>
      <c r="K61" s="24" t="e">
        <f t="shared" si="2"/>
        <v>#DIV/0!</v>
      </c>
      <c r="L61" s="70" t="e">
        <f t="shared" si="3"/>
        <v>#DIV/0!</v>
      </c>
      <c r="M61" s="75" t="e">
        <f t="shared" si="4"/>
        <v>#DIV/0!</v>
      </c>
      <c r="N61" s="1"/>
      <c r="O61" s="28"/>
      <c r="P61" s="19" t="s">
        <v>39</v>
      </c>
      <c r="Q61" s="30">
        <f t="shared" si="5"/>
        <v>-2</v>
      </c>
      <c r="R61" s="38"/>
    </row>
    <row r="62" spans="1:18" x14ac:dyDescent="0.3">
      <c r="A62" s="64"/>
      <c r="B62" s="65"/>
      <c r="D62" s="119"/>
      <c r="E62" s="115" t="s">
        <v>16</v>
      </c>
      <c r="F62" s="23"/>
      <c r="G62" s="23"/>
      <c r="H62" s="24" t="e">
        <f t="shared" si="6"/>
        <v>#DIV/0!</v>
      </c>
      <c r="I62" s="33"/>
      <c r="J62" s="21">
        <f t="shared" si="1"/>
        <v>0</v>
      </c>
      <c r="K62" s="24" t="e">
        <f t="shared" si="2"/>
        <v>#DIV/0!</v>
      </c>
      <c r="L62" s="70" t="e">
        <f t="shared" si="3"/>
        <v>#DIV/0!</v>
      </c>
      <c r="M62" s="75" t="e">
        <f t="shared" si="4"/>
        <v>#DIV/0!</v>
      </c>
      <c r="N62" s="1"/>
      <c r="O62" s="28"/>
      <c r="P62" s="19" t="s">
        <v>39</v>
      </c>
      <c r="Q62" s="30">
        <f t="shared" si="5"/>
        <v>-2</v>
      </c>
      <c r="R62" s="38"/>
    </row>
    <row r="63" spans="1:18" x14ac:dyDescent="0.3">
      <c r="A63" s="64"/>
      <c r="B63" s="65"/>
      <c r="D63" s="119"/>
      <c r="E63" s="115" t="s">
        <v>16</v>
      </c>
      <c r="F63" s="23"/>
      <c r="G63" s="23"/>
      <c r="H63" s="24" t="e">
        <f t="shared" si="6"/>
        <v>#DIV/0!</v>
      </c>
      <c r="I63" s="33"/>
      <c r="J63" s="21">
        <f t="shared" si="1"/>
        <v>0</v>
      </c>
      <c r="K63" s="24" t="e">
        <f t="shared" si="2"/>
        <v>#DIV/0!</v>
      </c>
      <c r="L63" s="70" t="e">
        <f t="shared" si="3"/>
        <v>#DIV/0!</v>
      </c>
      <c r="M63" s="75" t="e">
        <f t="shared" si="4"/>
        <v>#DIV/0!</v>
      </c>
      <c r="N63" s="1"/>
      <c r="O63" s="28"/>
      <c r="P63" s="19" t="s">
        <v>39</v>
      </c>
      <c r="Q63" s="30">
        <f t="shared" si="5"/>
        <v>-2</v>
      </c>
      <c r="R63" s="38"/>
    </row>
    <row r="64" spans="1:18" x14ac:dyDescent="0.3">
      <c r="A64" s="64"/>
      <c r="B64" s="65"/>
      <c r="D64" s="119"/>
      <c r="E64" s="115" t="s">
        <v>16</v>
      </c>
      <c r="F64" s="23"/>
      <c r="G64" s="23"/>
      <c r="H64" s="24" t="e">
        <f t="shared" si="6"/>
        <v>#DIV/0!</v>
      </c>
      <c r="I64" s="33"/>
      <c r="J64" s="21">
        <f t="shared" si="1"/>
        <v>0</v>
      </c>
      <c r="K64" s="24" t="e">
        <f t="shared" si="2"/>
        <v>#DIV/0!</v>
      </c>
      <c r="L64" s="70" t="e">
        <f t="shared" si="3"/>
        <v>#DIV/0!</v>
      </c>
      <c r="M64" s="75" t="e">
        <f t="shared" si="4"/>
        <v>#DIV/0!</v>
      </c>
      <c r="N64" s="1"/>
      <c r="O64" s="28"/>
      <c r="P64" s="19" t="s">
        <v>39</v>
      </c>
      <c r="Q64" s="30">
        <f t="shared" si="5"/>
        <v>-2</v>
      </c>
      <c r="R64" s="38"/>
    </row>
    <row r="65" spans="1:18" x14ac:dyDescent="0.3">
      <c r="A65" s="64"/>
      <c r="B65" s="65"/>
      <c r="D65" s="119"/>
      <c r="E65" s="115" t="s">
        <v>16</v>
      </c>
      <c r="F65" s="23"/>
      <c r="G65" s="23"/>
      <c r="H65" s="24" t="e">
        <f t="shared" si="6"/>
        <v>#DIV/0!</v>
      </c>
      <c r="I65" s="33"/>
      <c r="J65" s="21">
        <f t="shared" si="1"/>
        <v>0</v>
      </c>
      <c r="K65" s="24" t="e">
        <f t="shared" si="2"/>
        <v>#DIV/0!</v>
      </c>
      <c r="L65" s="70" t="e">
        <f t="shared" si="3"/>
        <v>#DIV/0!</v>
      </c>
      <c r="M65" s="75" t="e">
        <f t="shared" si="4"/>
        <v>#DIV/0!</v>
      </c>
      <c r="N65" s="1"/>
      <c r="O65" s="28"/>
      <c r="P65" s="19" t="s">
        <v>39</v>
      </c>
      <c r="Q65" s="30">
        <f t="shared" si="5"/>
        <v>-2</v>
      </c>
      <c r="R65" s="38"/>
    </row>
    <row r="66" spans="1:18" x14ac:dyDescent="0.3">
      <c r="A66" s="64"/>
      <c r="B66" s="65"/>
      <c r="D66" s="119"/>
      <c r="E66" s="115" t="s">
        <v>16</v>
      </c>
      <c r="F66" s="23"/>
      <c r="G66" s="23"/>
      <c r="H66" s="24" t="e">
        <f t="shared" si="6"/>
        <v>#DIV/0!</v>
      </c>
      <c r="I66" s="33"/>
      <c r="J66" s="21">
        <f t="shared" si="1"/>
        <v>0</v>
      </c>
      <c r="K66" s="24" t="e">
        <f t="shared" si="2"/>
        <v>#DIV/0!</v>
      </c>
      <c r="L66" s="70" t="e">
        <f t="shared" si="3"/>
        <v>#DIV/0!</v>
      </c>
      <c r="M66" s="75" t="e">
        <f t="shared" si="4"/>
        <v>#DIV/0!</v>
      </c>
      <c r="N66" s="1"/>
      <c r="O66" s="28"/>
      <c r="P66" s="19" t="s">
        <v>39</v>
      </c>
      <c r="Q66" s="30">
        <f t="shared" si="5"/>
        <v>-2</v>
      </c>
      <c r="R66" s="38"/>
    </row>
    <row r="67" spans="1:18" x14ac:dyDescent="0.3">
      <c r="A67" s="64"/>
      <c r="B67" s="65"/>
      <c r="D67" s="119"/>
      <c r="E67" s="115" t="s">
        <v>16</v>
      </c>
      <c r="F67" s="23"/>
      <c r="G67" s="23"/>
      <c r="H67" s="24" t="e">
        <f t="shared" si="6"/>
        <v>#DIV/0!</v>
      </c>
      <c r="I67" s="33"/>
      <c r="J67" s="21">
        <f t="shared" ref="J67:J71" si="7">F67*I67+IF(N67="Фрибет",(F67*I67-F67)-F67*I67)</f>
        <v>0</v>
      </c>
      <c r="K67" s="24" t="e">
        <f t="shared" ref="K67:K71" si="8">((J67*100)/G67)</f>
        <v>#DIV/0!</v>
      </c>
      <c r="L67" s="70" t="e">
        <f t="shared" ref="L67:L71" si="9">1-M67</f>
        <v>#DIV/0!</v>
      </c>
      <c r="M67" s="75" t="e">
        <f t="shared" ref="M67:M71" si="10">1/I67</f>
        <v>#DIV/0!</v>
      </c>
      <c r="N67" s="1"/>
      <c r="O67" s="28"/>
      <c r="P67" s="19" t="s">
        <v>39</v>
      </c>
      <c r="Q67" s="30">
        <f t="shared" si="5"/>
        <v>-2</v>
      </c>
      <c r="R67" s="38"/>
    </row>
    <row r="68" spans="1:18" x14ac:dyDescent="0.3">
      <c r="A68" s="64"/>
      <c r="B68" s="65"/>
      <c r="D68" s="119"/>
      <c r="E68" s="115" t="s">
        <v>16</v>
      </c>
      <c r="F68" s="23"/>
      <c r="G68" s="23"/>
      <c r="H68" s="24" t="e">
        <f t="shared" si="6"/>
        <v>#DIV/0!</v>
      </c>
      <c r="I68" s="33"/>
      <c r="J68" s="21">
        <f t="shared" si="7"/>
        <v>0</v>
      </c>
      <c r="K68" s="24" t="e">
        <f t="shared" si="8"/>
        <v>#DIV/0!</v>
      </c>
      <c r="L68" s="70" t="e">
        <f t="shared" si="9"/>
        <v>#DIV/0!</v>
      </c>
      <c r="M68" s="75" t="e">
        <f t="shared" si="10"/>
        <v>#DIV/0!</v>
      </c>
      <c r="N68" s="1"/>
      <c r="O68" s="28"/>
      <c r="P68" s="19" t="s">
        <v>39</v>
      </c>
      <c r="Q68" s="30">
        <f t="shared" ref="Q68:Q71" si="11">IF(P68="Победа",1)+IF(P68="Поражение",0)+IF(P68="Не ставил",-2)</f>
        <v>-2</v>
      </c>
      <c r="R68" s="38"/>
    </row>
    <row r="69" spans="1:18" x14ac:dyDescent="0.3">
      <c r="A69" s="64"/>
      <c r="B69" s="65"/>
      <c r="D69" s="119"/>
      <c r="E69" s="115" t="s">
        <v>16</v>
      </c>
      <c r="F69" s="23"/>
      <c r="G69" s="23"/>
      <c r="H69" s="24" t="e">
        <f t="shared" si="6"/>
        <v>#DIV/0!</v>
      </c>
      <c r="I69" s="33"/>
      <c r="J69" s="21">
        <f t="shared" si="7"/>
        <v>0</v>
      </c>
      <c r="K69" s="24" t="e">
        <f t="shared" si="8"/>
        <v>#DIV/0!</v>
      </c>
      <c r="L69" s="70" t="e">
        <f t="shared" si="9"/>
        <v>#DIV/0!</v>
      </c>
      <c r="M69" s="75" t="e">
        <f t="shared" si="10"/>
        <v>#DIV/0!</v>
      </c>
      <c r="N69" s="1"/>
      <c r="O69" s="28"/>
      <c r="P69" s="19" t="s">
        <v>39</v>
      </c>
      <c r="Q69" s="30">
        <f t="shared" si="11"/>
        <v>-2</v>
      </c>
      <c r="R69" s="38"/>
    </row>
    <row r="70" spans="1:18" x14ac:dyDescent="0.3">
      <c r="A70" s="64"/>
      <c r="B70" s="65"/>
      <c r="D70" s="119"/>
      <c r="E70" s="115" t="s">
        <v>16</v>
      </c>
      <c r="F70" s="23"/>
      <c r="G70" s="23"/>
      <c r="H70" s="24" t="e">
        <f t="shared" si="6"/>
        <v>#DIV/0!</v>
      </c>
      <c r="I70" s="33"/>
      <c r="J70" s="21">
        <f t="shared" si="7"/>
        <v>0</v>
      </c>
      <c r="K70" s="24" t="e">
        <f t="shared" si="8"/>
        <v>#DIV/0!</v>
      </c>
      <c r="L70" s="70" t="e">
        <f t="shared" si="9"/>
        <v>#DIV/0!</v>
      </c>
      <c r="M70" s="75" t="e">
        <f t="shared" si="10"/>
        <v>#DIV/0!</v>
      </c>
      <c r="N70" s="1"/>
      <c r="O70" s="28"/>
      <c r="P70" s="19" t="s">
        <v>39</v>
      </c>
      <c r="Q70" s="30">
        <f t="shared" si="11"/>
        <v>-2</v>
      </c>
      <c r="R70" s="38"/>
    </row>
    <row r="71" spans="1:18" ht="15" thickBot="1" x14ac:dyDescent="0.35">
      <c r="A71" s="56"/>
      <c r="B71" s="66"/>
      <c r="D71" s="119"/>
      <c r="E71" s="115" t="s">
        <v>16</v>
      </c>
      <c r="F71" s="23"/>
      <c r="G71" s="23"/>
      <c r="H71" s="24" t="e">
        <f t="shared" si="6"/>
        <v>#DIV/0!</v>
      </c>
      <c r="I71" s="33"/>
      <c r="J71" s="21">
        <f t="shared" si="7"/>
        <v>0</v>
      </c>
      <c r="K71" s="24" t="e">
        <f t="shared" si="8"/>
        <v>#DIV/0!</v>
      </c>
      <c r="L71" s="70" t="e">
        <f t="shared" si="9"/>
        <v>#DIV/0!</v>
      </c>
      <c r="M71" s="75" t="e">
        <f t="shared" si="10"/>
        <v>#DIV/0!</v>
      </c>
      <c r="N71" s="1"/>
      <c r="O71" s="28"/>
      <c r="P71" s="19" t="s">
        <v>39</v>
      </c>
      <c r="Q71" s="30">
        <f t="shared" si="11"/>
        <v>-2</v>
      </c>
      <c r="R71" s="38"/>
    </row>
    <row r="72" spans="1:18" x14ac:dyDescent="0.3">
      <c r="E72"/>
      <c r="F72"/>
      <c r="G72"/>
      <c r="H72"/>
      <c r="I72"/>
      <c r="J72"/>
      <c r="K72"/>
      <c r="L72" s="73"/>
      <c r="M72" s="78"/>
      <c r="O72"/>
      <c r="P72"/>
      <c r="Q72"/>
      <c r="R72"/>
    </row>
    <row r="73" spans="1:18" x14ac:dyDescent="0.3">
      <c r="E73"/>
      <c r="F73"/>
      <c r="G73"/>
      <c r="H73"/>
      <c r="I73"/>
      <c r="J73"/>
      <c r="K73"/>
      <c r="L73" s="73"/>
      <c r="M73" s="78"/>
      <c r="O73"/>
      <c r="P73"/>
      <c r="Q73"/>
      <c r="R73"/>
    </row>
    <row r="74" spans="1:18" x14ac:dyDescent="0.3">
      <c r="E74"/>
      <c r="F74"/>
      <c r="G74"/>
      <c r="H74"/>
      <c r="I74"/>
      <c r="J74"/>
      <c r="K74"/>
      <c r="L74" s="73"/>
      <c r="M74" s="78"/>
      <c r="O74"/>
      <c r="P74"/>
      <c r="Q74"/>
      <c r="R74"/>
    </row>
    <row r="75" spans="1:18" x14ac:dyDescent="0.3">
      <c r="E75"/>
      <c r="F75"/>
      <c r="G75"/>
      <c r="H75"/>
      <c r="I75"/>
      <c r="J75"/>
      <c r="K75"/>
      <c r="L75" s="73"/>
      <c r="M75" s="78"/>
      <c r="O75"/>
      <c r="P75"/>
      <c r="Q75"/>
      <c r="R75"/>
    </row>
    <row r="76" spans="1:18" x14ac:dyDescent="0.3">
      <c r="E76"/>
      <c r="F76"/>
      <c r="G76"/>
      <c r="H76"/>
      <c r="I76"/>
      <c r="J76"/>
      <c r="K76"/>
      <c r="L76" s="73"/>
      <c r="M76" s="78"/>
      <c r="O76"/>
      <c r="P76"/>
      <c r="Q76"/>
      <c r="R76"/>
    </row>
    <row r="77" spans="1:18" x14ac:dyDescent="0.3">
      <c r="E77"/>
      <c r="F77"/>
      <c r="G77"/>
      <c r="H77"/>
      <c r="I77"/>
      <c r="J77"/>
      <c r="K77"/>
      <c r="L77" s="73"/>
      <c r="M77" s="78"/>
      <c r="O77"/>
      <c r="P77"/>
      <c r="Q77"/>
      <c r="R77"/>
    </row>
    <row r="78" spans="1:18" x14ac:dyDescent="0.3">
      <c r="E78"/>
      <c r="F78"/>
      <c r="G78"/>
      <c r="H78"/>
      <c r="I78"/>
      <c r="J78"/>
      <c r="K78"/>
      <c r="L78" s="73"/>
      <c r="M78" s="78"/>
      <c r="O78"/>
      <c r="P78"/>
      <c r="Q78"/>
      <c r="R78"/>
    </row>
    <row r="79" spans="1:18" x14ac:dyDescent="0.3">
      <c r="E79"/>
      <c r="F79"/>
      <c r="G79"/>
      <c r="H79"/>
      <c r="I79"/>
      <c r="J79"/>
      <c r="K79"/>
      <c r="L79" s="73"/>
      <c r="M79" s="78"/>
      <c r="O79"/>
      <c r="P79"/>
      <c r="Q79"/>
      <c r="R79"/>
    </row>
    <row r="80" spans="1:18" x14ac:dyDescent="0.3">
      <c r="E80"/>
      <c r="F80"/>
      <c r="G80"/>
      <c r="H80"/>
      <c r="I80"/>
      <c r="J80"/>
      <c r="K80"/>
      <c r="L80" s="73"/>
      <c r="M80" s="78"/>
      <c r="O80"/>
      <c r="P80"/>
      <c r="Q80"/>
      <c r="R80"/>
    </row>
    <row r="81" spans="12:13" customFormat="1" x14ac:dyDescent="0.3">
      <c r="L81" s="73"/>
      <c r="M81" s="78"/>
    </row>
    <row r="82" spans="12:13" customFormat="1" x14ac:dyDescent="0.3">
      <c r="L82" s="73"/>
      <c r="M82" s="78"/>
    </row>
    <row r="83" spans="12:13" customFormat="1" x14ac:dyDescent="0.3">
      <c r="L83" s="73"/>
      <c r="M83" s="78"/>
    </row>
    <row r="84" spans="12:13" customFormat="1" x14ac:dyDescent="0.3">
      <c r="L84" s="73"/>
      <c r="M84" s="78"/>
    </row>
    <row r="85" spans="12:13" customFormat="1" x14ac:dyDescent="0.3">
      <c r="L85" s="73"/>
      <c r="M85" s="78"/>
    </row>
    <row r="86" spans="12:13" customFormat="1" x14ac:dyDescent="0.3">
      <c r="L86" s="73"/>
      <c r="M86" s="78"/>
    </row>
    <row r="87" spans="12:13" customFormat="1" x14ac:dyDescent="0.3">
      <c r="L87" s="73"/>
      <c r="M87" s="78"/>
    </row>
    <row r="88" spans="12:13" customFormat="1" x14ac:dyDescent="0.3">
      <c r="L88" s="73"/>
      <c r="M88" s="78"/>
    </row>
    <row r="89" spans="12:13" customFormat="1" x14ac:dyDescent="0.3">
      <c r="L89" s="73"/>
      <c r="M89" s="78"/>
    </row>
    <row r="90" spans="12:13" customFormat="1" x14ac:dyDescent="0.3">
      <c r="L90" s="73"/>
      <c r="M90" s="78"/>
    </row>
    <row r="91" spans="12:13" customFormat="1" x14ac:dyDescent="0.3">
      <c r="L91" s="73"/>
      <c r="M91" s="78"/>
    </row>
    <row r="92" spans="12:13" customFormat="1" x14ac:dyDescent="0.3">
      <c r="L92" s="73"/>
      <c r="M92" s="78"/>
    </row>
    <row r="93" spans="12:13" customFormat="1" x14ac:dyDescent="0.3">
      <c r="L93" s="73"/>
      <c r="M93" s="78"/>
    </row>
    <row r="94" spans="12:13" customFormat="1" x14ac:dyDescent="0.3">
      <c r="L94" s="73"/>
      <c r="M94" s="78"/>
    </row>
    <row r="95" spans="12:13" customFormat="1" x14ac:dyDescent="0.3">
      <c r="L95" s="73"/>
      <c r="M95" s="78"/>
    </row>
    <row r="96" spans="12:13" customFormat="1" x14ac:dyDescent="0.3">
      <c r="L96" s="73"/>
      <c r="M96" s="78"/>
    </row>
    <row r="97" spans="12:13" customFormat="1" x14ac:dyDescent="0.3">
      <c r="L97" s="73"/>
      <c r="M97" s="78"/>
    </row>
    <row r="98" spans="12:13" customFormat="1" x14ac:dyDescent="0.3">
      <c r="L98" s="73"/>
      <c r="M98" s="78"/>
    </row>
    <row r="99" spans="12:13" customFormat="1" x14ac:dyDescent="0.3">
      <c r="L99" s="73"/>
      <c r="M99" s="78"/>
    </row>
    <row r="100" spans="12:13" customFormat="1" x14ac:dyDescent="0.3">
      <c r="L100" s="73"/>
      <c r="M100" s="78"/>
    </row>
    <row r="101" spans="12:13" customFormat="1" x14ac:dyDescent="0.3">
      <c r="L101" s="73"/>
      <c r="M101" s="78"/>
    </row>
    <row r="102" spans="12:13" customFormat="1" x14ac:dyDescent="0.3">
      <c r="L102" s="73"/>
      <c r="M102" s="78"/>
    </row>
    <row r="103" spans="12:13" customFormat="1" x14ac:dyDescent="0.3">
      <c r="L103" s="73"/>
      <c r="M103" s="78"/>
    </row>
    <row r="104" spans="12:13" customFormat="1" x14ac:dyDescent="0.3">
      <c r="L104" s="73"/>
      <c r="M104" s="78"/>
    </row>
    <row r="105" spans="12:13" customFormat="1" x14ac:dyDescent="0.3">
      <c r="L105" s="73"/>
      <c r="M105" s="78"/>
    </row>
    <row r="106" spans="12:13" customFormat="1" x14ac:dyDescent="0.3">
      <c r="L106" s="73"/>
      <c r="M106" s="78"/>
    </row>
    <row r="107" spans="12:13" customFormat="1" x14ac:dyDescent="0.3">
      <c r="L107" s="73"/>
      <c r="M107" s="78"/>
    </row>
    <row r="108" spans="12:13" customFormat="1" x14ac:dyDescent="0.3">
      <c r="L108" s="73"/>
      <c r="M108" s="78"/>
    </row>
    <row r="109" spans="12:13" customFormat="1" x14ac:dyDescent="0.3">
      <c r="L109" s="73"/>
      <c r="M109" s="78"/>
    </row>
    <row r="110" spans="12:13" customFormat="1" x14ac:dyDescent="0.3">
      <c r="L110" s="73"/>
      <c r="M110" s="78"/>
    </row>
    <row r="111" spans="12:13" customFormat="1" x14ac:dyDescent="0.3">
      <c r="L111" s="73"/>
      <c r="M111" s="78"/>
    </row>
    <row r="112" spans="12:13" customFormat="1" x14ac:dyDescent="0.3">
      <c r="L112" s="73"/>
      <c r="M112" s="78"/>
    </row>
    <row r="113" spans="12:13" customFormat="1" x14ac:dyDescent="0.3">
      <c r="L113" s="73"/>
      <c r="M113" s="78"/>
    </row>
    <row r="114" spans="12:13" customFormat="1" x14ac:dyDescent="0.3">
      <c r="L114" s="73"/>
      <c r="M114" s="78"/>
    </row>
    <row r="115" spans="12:13" customFormat="1" x14ac:dyDescent="0.3">
      <c r="L115" s="73"/>
      <c r="M115" s="78"/>
    </row>
    <row r="116" spans="12:13" customFormat="1" x14ac:dyDescent="0.3">
      <c r="L116" s="73"/>
      <c r="M116" s="78"/>
    </row>
    <row r="117" spans="12:13" customFormat="1" x14ac:dyDescent="0.3">
      <c r="L117" s="73"/>
      <c r="M117" s="78"/>
    </row>
    <row r="118" spans="12:13" customFormat="1" x14ac:dyDescent="0.3">
      <c r="L118" s="73"/>
      <c r="M118" s="78"/>
    </row>
    <row r="119" spans="12:13" customFormat="1" x14ac:dyDescent="0.3">
      <c r="L119" s="73"/>
      <c r="M119" s="78"/>
    </row>
    <row r="120" spans="12:13" customFormat="1" x14ac:dyDescent="0.3">
      <c r="L120" s="73"/>
      <c r="M120" s="78"/>
    </row>
    <row r="121" spans="12:13" customFormat="1" x14ac:dyDescent="0.3">
      <c r="L121" s="73"/>
      <c r="M121" s="78"/>
    </row>
    <row r="122" spans="12:13" customFormat="1" x14ac:dyDescent="0.3">
      <c r="L122" s="73"/>
      <c r="M122" s="78"/>
    </row>
    <row r="123" spans="12:13" customFormat="1" x14ac:dyDescent="0.3">
      <c r="L123" s="73"/>
      <c r="M123" s="78"/>
    </row>
    <row r="124" spans="12:13" customFormat="1" x14ac:dyDescent="0.3">
      <c r="L124" s="73"/>
      <c r="M124" s="78"/>
    </row>
    <row r="125" spans="12:13" customFormat="1" x14ac:dyDescent="0.3">
      <c r="L125" s="73"/>
      <c r="M125" s="78"/>
    </row>
    <row r="126" spans="12:13" customFormat="1" x14ac:dyDescent="0.3">
      <c r="L126" s="73"/>
      <c r="M126" s="78"/>
    </row>
    <row r="127" spans="12:13" customFormat="1" x14ac:dyDescent="0.3">
      <c r="L127" s="73"/>
      <c r="M127" s="78"/>
    </row>
    <row r="128" spans="12:13" customFormat="1" x14ac:dyDescent="0.3">
      <c r="L128" s="73"/>
      <c r="M128" s="78"/>
    </row>
    <row r="129" spans="12:13" customFormat="1" x14ac:dyDescent="0.3">
      <c r="L129" s="73"/>
      <c r="M129" s="78"/>
    </row>
    <row r="130" spans="12:13" customFormat="1" x14ac:dyDescent="0.3">
      <c r="L130" s="73"/>
      <c r="M130" s="78"/>
    </row>
    <row r="131" spans="12:13" customFormat="1" x14ac:dyDescent="0.3">
      <c r="L131" s="73"/>
      <c r="M131" s="78"/>
    </row>
    <row r="132" spans="12:13" customFormat="1" x14ac:dyDescent="0.3">
      <c r="L132" s="73"/>
      <c r="M132" s="78"/>
    </row>
    <row r="133" spans="12:13" customFormat="1" x14ac:dyDescent="0.3">
      <c r="L133" s="73"/>
      <c r="M133" s="78"/>
    </row>
    <row r="134" spans="12:13" customFormat="1" x14ac:dyDescent="0.3">
      <c r="L134" s="73"/>
      <c r="M134" s="78"/>
    </row>
    <row r="135" spans="12:13" customFormat="1" x14ac:dyDescent="0.3">
      <c r="L135" s="73"/>
      <c r="M135" s="78"/>
    </row>
    <row r="136" spans="12:13" customFormat="1" x14ac:dyDescent="0.3">
      <c r="L136" s="73"/>
      <c r="M136" s="78"/>
    </row>
    <row r="137" spans="12:13" customFormat="1" x14ac:dyDescent="0.3">
      <c r="L137" s="73"/>
      <c r="M137" s="78"/>
    </row>
    <row r="138" spans="12:13" customFormat="1" x14ac:dyDescent="0.3">
      <c r="L138" s="73"/>
      <c r="M138" s="78"/>
    </row>
    <row r="139" spans="12:13" customFormat="1" x14ac:dyDescent="0.3">
      <c r="L139" s="73"/>
      <c r="M139" s="78"/>
    </row>
    <row r="140" spans="12:13" customFormat="1" x14ac:dyDescent="0.3">
      <c r="L140" s="73"/>
      <c r="M140" s="78"/>
    </row>
    <row r="141" spans="12:13" customFormat="1" x14ac:dyDescent="0.3">
      <c r="L141" s="73"/>
      <c r="M141" s="78"/>
    </row>
    <row r="142" spans="12:13" customFormat="1" x14ac:dyDescent="0.3">
      <c r="L142" s="73"/>
      <c r="M142" s="78"/>
    </row>
    <row r="143" spans="12:13" customFormat="1" x14ac:dyDescent="0.3">
      <c r="L143" s="73"/>
      <c r="M143" s="78"/>
    </row>
    <row r="144" spans="12:13" customFormat="1" x14ac:dyDescent="0.3">
      <c r="L144" s="73"/>
      <c r="M144" s="78"/>
    </row>
    <row r="145" spans="12:13" customFormat="1" x14ac:dyDescent="0.3">
      <c r="L145" s="73"/>
      <c r="M145" s="78"/>
    </row>
    <row r="146" spans="12:13" customFormat="1" x14ac:dyDescent="0.3">
      <c r="L146" s="73"/>
      <c r="M146" s="78"/>
    </row>
    <row r="147" spans="12:13" customFormat="1" x14ac:dyDescent="0.3">
      <c r="L147" s="73"/>
      <c r="M147" s="78"/>
    </row>
    <row r="148" spans="12:13" customFormat="1" x14ac:dyDescent="0.3">
      <c r="L148" s="73"/>
      <c r="M148" s="78"/>
    </row>
    <row r="149" spans="12:13" customFormat="1" x14ac:dyDescent="0.3">
      <c r="L149" s="73"/>
      <c r="M149" s="78"/>
    </row>
    <row r="150" spans="12:13" customFormat="1" x14ac:dyDescent="0.3">
      <c r="L150" s="73"/>
      <c r="M150" s="78"/>
    </row>
    <row r="151" spans="12:13" customFormat="1" x14ac:dyDescent="0.3">
      <c r="L151" s="73"/>
      <c r="M151" s="78"/>
    </row>
    <row r="152" spans="12:13" customFormat="1" x14ac:dyDescent="0.3">
      <c r="L152" s="73"/>
      <c r="M152" s="78"/>
    </row>
    <row r="153" spans="12:13" customFormat="1" x14ac:dyDescent="0.3">
      <c r="L153" s="73"/>
      <c r="M153" s="78"/>
    </row>
    <row r="154" spans="12:13" customFormat="1" x14ac:dyDescent="0.3">
      <c r="L154" s="73"/>
      <c r="M154" s="78"/>
    </row>
    <row r="155" spans="12:13" customFormat="1" x14ac:dyDescent="0.3">
      <c r="L155" s="73"/>
      <c r="M155" s="78"/>
    </row>
    <row r="156" spans="12:13" customFormat="1" x14ac:dyDescent="0.3">
      <c r="L156" s="73"/>
      <c r="M156" s="78"/>
    </row>
    <row r="157" spans="12:13" customFormat="1" x14ac:dyDescent="0.3">
      <c r="L157" s="73"/>
      <c r="M157" s="78"/>
    </row>
    <row r="158" spans="12:13" customFormat="1" x14ac:dyDescent="0.3">
      <c r="L158" s="73"/>
      <c r="M158" s="78"/>
    </row>
    <row r="159" spans="12:13" customFormat="1" x14ac:dyDescent="0.3">
      <c r="L159" s="73"/>
      <c r="M159" s="78"/>
    </row>
    <row r="160" spans="12:13" customFormat="1" x14ac:dyDescent="0.3">
      <c r="L160" s="73"/>
      <c r="M160" s="78"/>
    </row>
    <row r="161" spans="12:13" customFormat="1" x14ac:dyDescent="0.3">
      <c r="L161" s="73"/>
      <c r="M161" s="78"/>
    </row>
    <row r="162" spans="12:13" customFormat="1" x14ac:dyDescent="0.3">
      <c r="L162" s="73"/>
      <c r="M162" s="78"/>
    </row>
    <row r="163" spans="12:13" customFormat="1" x14ac:dyDescent="0.3">
      <c r="L163" s="73"/>
      <c r="M163" s="78"/>
    </row>
    <row r="164" spans="12:13" customFormat="1" x14ac:dyDescent="0.3">
      <c r="L164" s="73"/>
      <c r="M164" s="78"/>
    </row>
    <row r="165" spans="12:13" customFormat="1" x14ac:dyDescent="0.3">
      <c r="L165" s="73"/>
      <c r="M165" s="78"/>
    </row>
    <row r="166" spans="12:13" customFormat="1" x14ac:dyDescent="0.3">
      <c r="L166" s="73"/>
      <c r="M166" s="78"/>
    </row>
    <row r="167" spans="12:13" customFormat="1" x14ac:dyDescent="0.3">
      <c r="L167" s="73"/>
      <c r="M167" s="78"/>
    </row>
    <row r="168" spans="12:13" customFormat="1" x14ac:dyDescent="0.3">
      <c r="L168" s="73"/>
      <c r="M168" s="78"/>
    </row>
    <row r="169" spans="12:13" customFormat="1" x14ac:dyDescent="0.3">
      <c r="L169" s="73"/>
      <c r="M169" s="78"/>
    </row>
    <row r="170" spans="12:13" customFormat="1" x14ac:dyDescent="0.3">
      <c r="L170" s="73"/>
      <c r="M170" s="78"/>
    </row>
    <row r="171" spans="12:13" customFormat="1" x14ac:dyDescent="0.3">
      <c r="L171" s="73"/>
      <c r="M171" s="78"/>
    </row>
    <row r="172" spans="12:13" customFormat="1" x14ac:dyDescent="0.3">
      <c r="L172" s="73"/>
      <c r="M172" s="78"/>
    </row>
    <row r="173" spans="12:13" customFormat="1" x14ac:dyDescent="0.3">
      <c r="L173" s="73"/>
      <c r="M173" s="78"/>
    </row>
    <row r="174" spans="12:13" customFormat="1" x14ac:dyDescent="0.3">
      <c r="L174" s="73"/>
      <c r="M174" s="78"/>
    </row>
    <row r="175" spans="12:13" customFormat="1" x14ac:dyDescent="0.3">
      <c r="L175" s="73"/>
      <c r="M175" s="78"/>
    </row>
    <row r="176" spans="12:13" customFormat="1" x14ac:dyDescent="0.3">
      <c r="L176" s="73"/>
      <c r="M176" s="78"/>
    </row>
    <row r="177" spans="12:13" customFormat="1" x14ac:dyDescent="0.3">
      <c r="L177" s="73"/>
      <c r="M177" s="78"/>
    </row>
    <row r="178" spans="12:13" customFormat="1" x14ac:dyDescent="0.3">
      <c r="L178" s="73"/>
      <c r="M178" s="78"/>
    </row>
    <row r="179" spans="12:13" customFormat="1" x14ac:dyDescent="0.3">
      <c r="L179" s="73"/>
      <c r="M179" s="78"/>
    </row>
    <row r="180" spans="12:13" customFormat="1" x14ac:dyDescent="0.3">
      <c r="L180" s="73"/>
      <c r="M180" s="78"/>
    </row>
    <row r="181" spans="12:13" customFormat="1" x14ac:dyDescent="0.3">
      <c r="L181" s="73"/>
      <c r="M181" s="78"/>
    </row>
    <row r="182" spans="12:13" customFormat="1" x14ac:dyDescent="0.3">
      <c r="L182" s="73"/>
      <c r="M182" s="78"/>
    </row>
    <row r="183" spans="12:13" customFormat="1" x14ac:dyDescent="0.3">
      <c r="L183" s="73"/>
      <c r="M183" s="78"/>
    </row>
    <row r="184" spans="12:13" customFormat="1" x14ac:dyDescent="0.3">
      <c r="L184" s="73"/>
      <c r="M184" s="78"/>
    </row>
    <row r="185" spans="12:13" customFormat="1" x14ac:dyDescent="0.3">
      <c r="L185" s="73"/>
      <c r="M185" s="78"/>
    </row>
    <row r="186" spans="12:13" customFormat="1" x14ac:dyDescent="0.3">
      <c r="L186" s="73"/>
      <c r="M186" s="78"/>
    </row>
    <row r="187" spans="12:13" customFormat="1" x14ac:dyDescent="0.3">
      <c r="L187" s="73"/>
      <c r="M187" s="78"/>
    </row>
    <row r="188" spans="12:13" customFormat="1" x14ac:dyDescent="0.3">
      <c r="L188" s="73"/>
      <c r="M188" s="78"/>
    </row>
    <row r="189" spans="12:13" customFormat="1" x14ac:dyDescent="0.3">
      <c r="L189" s="73"/>
      <c r="M189" s="78"/>
    </row>
    <row r="190" spans="12:13" customFormat="1" x14ac:dyDescent="0.3">
      <c r="L190" s="73"/>
      <c r="M190" s="78"/>
    </row>
    <row r="191" spans="12:13" customFormat="1" x14ac:dyDescent="0.3">
      <c r="L191" s="73"/>
      <c r="M191" s="78"/>
    </row>
    <row r="192" spans="12:13" customFormat="1" x14ac:dyDescent="0.3">
      <c r="L192" s="73"/>
      <c r="M192" s="78"/>
    </row>
    <row r="193" spans="12:13" customFormat="1" x14ac:dyDescent="0.3">
      <c r="L193" s="73"/>
      <c r="M193" s="78"/>
    </row>
    <row r="194" spans="12:13" customFormat="1" x14ac:dyDescent="0.3">
      <c r="L194" s="73"/>
      <c r="M194" s="78"/>
    </row>
    <row r="195" spans="12:13" customFormat="1" x14ac:dyDescent="0.3">
      <c r="L195" s="73"/>
      <c r="M195" s="78"/>
    </row>
    <row r="196" spans="12:13" customFormat="1" x14ac:dyDescent="0.3">
      <c r="L196" s="73"/>
      <c r="M196" s="78"/>
    </row>
    <row r="197" spans="12:13" customFormat="1" x14ac:dyDescent="0.3">
      <c r="L197" s="73"/>
      <c r="M197" s="78"/>
    </row>
    <row r="198" spans="12:13" customFormat="1" x14ac:dyDescent="0.3">
      <c r="L198" s="73"/>
      <c r="M198" s="78"/>
    </row>
    <row r="199" spans="12:13" customFormat="1" x14ac:dyDescent="0.3">
      <c r="L199" s="73"/>
      <c r="M199" s="78"/>
    </row>
    <row r="200" spans="12:13" customFormat="1" x14ac:dyDescent="0.3">
      <c r="L200" s="73"/>
      <c r="M200" s="78"/>
    </row>
    <row r="201" spans="12:13" customFormat="1" x14ac:dyDescent="0.3">
      <c r="L201" s="73"/>
      <c r="M201" s="78"/>
    </row>
  </sheetData>
  <mergeCells count="41">
    <mergeCell ref="AL27:AM27"/>
    <mergeCell ref="AL28:AM28"/>
    <mergeCell ref="AF2:AF3"/>
    <mergeCell ref="AG2:AG3"/>
    <mergeCell ref="AH2:AH3"/>
    <mergeCell ref="AI2:AI3"/>
    <mergeCell ref="AK2:AL3"/>
    <mergeCell ref="AB4:AC4"/>
    <mergeCell ref="AD4:AE4"/>
    <mergeCell ref="Z2:Z3"/>
    <mergeCell ref="AA2:AA3"/>
    <mergeCell ref="AB2:AC3"/>
    <mergeCell ref="AD2:AE3"/>
    <mergeCell ref="AK1:AX1"/>
    <mergeCell ref="AU2:AU3"/>
    <mergeCell ref="AV2:AV3"/>
    <mergeCell ref="AW2:AW3"/>
    <mergeCell ref="AX2:AX3"/>
    <mergeCell ref="AS2:AT3"/>
    <mergeCell ref="AQ4:AR4"/>
    <mergeCell ref="AS4:AT4"/>
    <mergeCell ref="AK4:AL4"/>
    <mergeCell ref="AM2:AN3"/>
    <mergeCell ref="AO2:AP3"/>
    <mergeCell ref="AQ2:AR3"/>
    <mergeCell ref="AO21:AS21"/>
    <mergeCell ref="Z1:AH1"/>
    <mergeCell ref="AO11:AV11"/>
    <mergeCell ref="AO12:AQ12"/>
    <mergeCell ref="AT12:AU12"/>
    <mergeCell ref="AO13:AQ13"/>
    <mergeCell ref="AT13:AU13"/>
    <mergeCell ref="AO9:AP9"/>
    <mergeCell ref="AQ9:AR9"/>
    <mergeCell ref="AS9:AT9"/>
    <mergeCell ref="AO8:AP8"/>
    <mergeCell ref="AQ8:AR8"/>
    <mergeCell ref="AS8:AT8"/>
    <mergeCell ref="AO7:AT7"/>
    <mergeCell ref="AM4:AN4"/>
    <mergeCell ref="AO4:AP4"/>
  </mergeCells>
  <conditionalFormatting sqref="L2:L71">
    <cfRule type="cellIs" dxfId="32" priority="8" operator="greaterThanOrEqual">
      <formula>95%</formula>
    </cfRule>
    <cfRule type="cellIs" dxfId="31" priority="9" operator="greaterThanOrEqual">
      <formula>90%</formula>
    </cfRule>
    <cfRule type="cellIs" dxfId="30" priority="11" operator="greaterThanOrEqual">
      <formula>85%</formula>
    </cfRule>
  </conditionalFormatting>
  <conditionalFormatting sqref="E2:R71">
    <cfRule type="expression" dxfId="29" priority="5">
      <formula>$Q2:$Q26=0</formula>
    </cfRule>
    <cfRule type="expression" dxfId="28" priority="6">
      <formula>$Q2:$Q26=1</formula>
    </cfRule>
  </conditionalFormatting>
  <conditionalFormatting sqref="M2:M71">
    <cfRule type="cellIs" dxfId="27" priority="7" operator="greaterThanOrEqual">
      <formula>95%</formula>
    </cfRule>
    <cfRule type="cellIs" dxfId="26" priority="10" operator="greaterThanOrEqual">
      <formula>90%</formula>
    </cfRule>
    <cfRule type="cellIs" dxfId="25" priority="12" operator="greaterThanOrEqual">
      <formula>85%</formula>
    </cfRule>
  </conditionalFormatting>
  <conditionalFormatting sqref="U2">
    <cfRule type="iconSet" priority="4">
      <iconSet iconSet="3Arrows">
        <cfvo type="percent" val="0"/>
        <cfvo type="num" val="$V$2"/>
        <cfvo type="num" val="$V$2" gte="0"/>
      </iconSet>
    </cfRule>
  </conditionalFormatting>
  <conditionalFormatting sqref="V2">
    <cfRule type="iconSet" priority="3">
      <iconSet iconSet="3Arrows">
        <cfvo type="percent" val="0"/>
        <cfvo type="num" val="$U$2"/>
        <cfvo type="num" val="$U$2" gte="0"/>
      </iconSet>
    </cfRule>
  </conditionalFormatting>
  <conditionalFormatting sqref="D2:D71">
    <cfRule type="expression" dxfId="24" priority="1">
      <formula>$Q2:$Q26=0</formula>
    </cfRule>
    <cfRule type="expression" dxfId="23" priority="2">
      <formula>$Q2:$Q26=1</formula>
    </cfRule>
  </conditionalFormatting>
  <dataValidations count="1">
    <dataValidation type="list" allowBlank="1" showInputMessage="1" showErrorMessage="1" sqref="O2:O71 AO12:AQ12" xr:uid="{00000000-0002-0000-0700-000000000000}">
      <formula1>ВидСпортаЧемпионат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700-000001000000}">
          <x14:formula1>
            <xm:f>Мастерская!$A$1:$A$6</xm:f>
          </x14:formula1>
          <xm:sqref>E2:E71</xm:sqref>
        </x14:dataValidation>
        <x14:dataValidation type="list" allowBlank="1" showInputMessage="1" showErrorMessage="1" xr:uid="{00000000-0002-0000-0700-000002000000}">
          <x14:formula1>
            <xm:f>Мастерская!$E$1:$E$3</xm:f>
          </x14:formula1>
          <xm:sqref>P2:P71 P202:P1048576</xm:sqref>
        </x14:dataValidation>
        <x14:dataValidation type="list" allowBlank="1" showInputMessage="1" showErrorMessage="1" xr:uid="{00000000-0002-0000-0700-000003000000}">
          <x14:formula1>
            <xm:f>Мастерская!$C$1:$C$3</xm:f>
          </x14:formula1>
          <xm:sqref>N2:N71 N202:N1048576</xm:sqref>
        </x14:dataValidation>
        <x14:dataValidation type="list" allowBlank="1" showInputMessage="1" showErrorMessage="1" xr:uid="{00000000-0002-0000-0700-000005000000}">
          <x14:formula1>
            <xm:f>Мастерская!$A:$A</xm:f>
          </x14:formula1>
          <xm:sqref>E202:E1048576</xm:sqref>
        </x14:dataValidation>
        <x14:dataValidation type="list" allowBlank="1" showInputMessage="1" showErrorMessage="1" xr:uid="{00000000-0002-0000-0700-000006000000}">
          <x14:formula1>
            <xm:f>Мастерская!$I:$I</xm:f>
          </x14:formula1>
          <xm:sqref>O202:O1048576</xm:sqref>
        </x14:dataValidation>
        <x14:dataValidation type="list" allowBlank="1" showInputMessage="1" showErrorMessage="1" xr:uid="{60B3988E-62C9-4693-A357-5279F138DD23}">
          <x14:formula1>
            <xm:f>Мастерская!$B$1:$B$23</xm:f>
          </x14:formula1>
          <xm:sqref>D2:D71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2"/>
  <dimension ref="A1:AX201"/>
  <sheetViews>
    <sheetView zoomScale="70" zoomScaleNormal="70" workbookViewId="0">
      <selection activeCell="A2" sqref="A2"/>
    </sheetView>
  </sheetViews>
  <sheetFormatPr defaultRowHeight="14.4" x14ac:dyDescent="0.3"/>
  <cols>
    <col min="1" max="1" width="12.109375" customWidth="1"/>
    <col min="2" max="2" width="12.6640625" customWidth="1"/>
    <col min="4" max="4" width="31.77734375" customWidth="1"/>
    <col min="5" max="5" width="18.6640625" style="20" customWidth="1"/>
    <col min="6" max="6" width="14.109375" style="17" customWidth="1"/>
    <col min="7" max="7" width="14.6640625" style="17" customWidth="1"/>
    <col min="8" max="8" width="14.88671875" style="17" customWidth="1"/>
    <col min="9" max="9" width="18" style="17" customWidth="1"/>
    <col min="10" max="10" width="20.33203125" style="17" customWidth="1"/>
    <col min="11" max="11" width="21.33203125" style="17" customWidth="1"/>
    <col min="12" max="12" width="23.109375" style="74" customWidth="1"/>
    <col min="13" max="13" width="20" style="79" customWidth="1"/>
    <col min="14" max="14" width="13" customWidth="1"/>
    <col min="15" max="15" width="29.33203125" style="13" customWidth="1"/>
    <col min="16" max="16" width="12.5546875" style="20" customWidth="1"/>
    <col min="17" max="17" width="19.109375" style="17" customWidth="1"/>
    <col min="18" max="18" width="19.44140625" style="32" customWidth="1"/>
    <col min="19" max="19" width="10.5546875" customWidth="1"/>
    <col min="20" max="20" width="9.109375" customWidth="1"/>
    <col min="21" max="21" width="9.44140625" customWidth="1"/>
    <col min="22" max="22" width="10.6640625" customWidth="1"/>
    <col min="23" max="23" width="9.6640625" customWidth="1"/>
    <col min="24" max="24" width="15.33203125" customWidth="1"/>
    <col min="34" max="34" width="11.109375" customWidth="1"/>
    <col min="35" max="35" width="33.33203125" customWidth="1"/>
    <col min="38" max="38" width="13.77734375" customWidth="1"/>
    <col min="39" max="39" width="16.109375" customWidth="1"/>
    <col min="41" max="41" width="21.33203125" customWidth="1"/>
    <col min="42" max="42" width="26.77734375" customWidth="1"/>
    <col min="43" max="43" width="30.88671875" customWidth="1"/>
    <col min="44" max="44" width="33.33203125" customWidth="1"/>
    <col min="45" max="45" width="29.77734375" customWidth="1"/>
    <col min="46" max="46" width="20.88671875" customWidth="1"/>
    <col min="47" max="47" width="14.6640625" customWidth="1"/>
    <col min="48" max="48" width="19.88671875" customWidth="1"/>
    <col min="49" max="49" width="16.44140625" customWidth="1"/>
    <col min="50" max="50" width="14.33203125" customWidth="1"/>
  </cols>
  <sheetData>
    <row r="1" spans="1:50" ht="78" customHeight="1" thickTop="1" thickBot="1" x14ac:dyDescent="0.35">
      <c r="A1" s="46" t="s">
        <v>0</v>
      </c>
      <c r="B1" s="47" t="s">
        <v>1</v>
      </c>
      <c r="C1" s="2"/>
      <c r="D1" s="116" t="s">
        <v>179</v>
      </c>
      <c r="E1" s="114" t="s">
        <v>5</v>
      </c>
      <c r="F1" s="7" t="s">
        <v>2</v>
      </c>
      <c r="G1" s="8" t="s">
        <v>10</v>
      </c>
      <c r="H1" s="8" t="s">
        <v>6</v>
      </c>
      <c r="I1" s="7" t="s">
        <v>4</v>
      </c>
      <c r="J1" s="9" t="s">
        <v>9</v>
      </c>
      <c r="K1" s="8" t="s">
        <v>11</v>
      </c>
      <c r="L1" s="10" t="s">
        <v>7</v>
      </c>
      <c r="M1" s="10" t="s">
        <v>8</v>
      </c>
      <c r="N1" s="7" t="s">
        <v>3</v>
      </c>
      <c r="O1" s="11" t="s">
        <v>20</v>
      </c>
      <c r="P1" s="7" t="s">
        <v>19</v>
      </c>
      <c r="Q1" s="29" t="s">
        <v>12</v>
      </c>
      <c r="R1" s="12" t="s">
        <v>89</v>
      </c>
      <c r="T1" s="43" t="s">
        <v>14</v>
      </c>
      <c r="U1" s="44" t="s">
        <v>68</v>
      </c>
      <c r="V1" s="63" t="s">
        <v>69</v>
      </c>
      <c r="W1" s="44" t="s">
        <v>13</v>
      </c>
      <c r="X1" s="45" t="s">
        <v>70</v>
      </c>
      <c r="Z1" s="148" t="s">
        <v>65</v>
      </c>
      <c r="AA1" s="149"/>
      <c r="AB1" s="149"/>
      <c r="AC1" s="149"/>
      <c r="AD1" s="149"/>
      <c r="AE1" s="149"/>
      <c r="AF1" s="149"/>
      <c r="AG1" s="149"/>
      <c r="AH1" s="149"/>
      <c r="AI1" s="12">
        <f t="array" ref="AI1">INDEX(D2:D71,MATCH(MAX(COUNTIF(D2:D71,D2:D71)),COUNTIF(D2:D71,D2:D71),0))</f>
        <v>0</v>
      </c>
      <c r="AK1" s="148" t="s">
        <v>175</v>
      </c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50"/>
    </row>
    <row r="2" spans="1:50" ht="16.5" customHeight="1" thickTop="1" thickBot="1" x14ac:dyDescent="0.35">
      <c r="A2" s="48"/>
      <c r="B2" s="49"/>
      <c r="D2" s="118"/>
      <c r="E2" s="115" t="s">
        <v>16</v>
      </c>
      <c r="F2" s="21"/>
      <c r="G2" s="21"/>
      <c r="H2" s="22" t="e">
        <f>(F2*100)/G2</f>
        <v>#DIV/0!</v>
      </c>
      <c r="I2" s="67"/>
      <c r="J2" s="21">
        <f>F2*I2+IF(N2="Фрибет",(F2*I2-F2)-F2*I2)</f>
        <v>0</v>
      </c>
      <c r="K2" s="22" t="e">
        <f>((J2*100)/G2)</f>
        <v>#DIV/0!</v>
      </c>
      <c r="L2" s="68" t="e">
        <f>1-M2</f>
        <v>#DIV/0!</v>
      </c>
      <c r="M2" s="69" t="e">
        <f>1/I2</f>
        <v>#DIV/0!</v>
      </c>
      <c r="N2" s="5"/>
      <c r="O2" s="28"/>
      <c r="P2" s="18" t="s">
        <v>39</v>
      </c>
      <c r="Q2" s="30">
        <f>IF(P2="Победа",1)+IF(P2="Поражение",0)+IF(P2="Не ставил",-2)</f>
        <v>-2</v>
      </c>
      <c r="R2" s="37"/>
      <c r="T2" s="39">
        <f>COUNTIF(Q2:Q1048576,1)+COUNTIF(Q2:Q1048576, 0)</f>
        <v>0</v>
      </c>
      <c r="U2" s="61">
        <f>COUNTIF(Q2:Q1048576,1)</f>
        <v>0</v>
      </c>
      <c r="V2" s="62">
        <f>COUNTIF(Q2:Q1048576,0)</f>
        <v>0</v>
      </c>
      <c r="W2" s="40" t="e">
        <f>(SUMIF(Q2:Q1048576,"=1")+SUMIF(Q2:Q1048576,"=0")*100)/T2</f>
        <v>#DIV/0!</v>
      </c>
      <c r="X2" s="41" t="e">
        <f>1-W2</f>
        <v>#DIV/0!</v>
      </c>
      <c r="Z2" s="190" t="s">
        <v>5</v>
      </c>
      <c r="AA2" s="160" t="s">
        <v>2</v>
      </c>
      <c r="AB2" s="192" t="s">
        <v>10</v>
      </c>
      <c r="AC2" s="193"/>
      <c r="AD2" s="192" t="s">
        <v>6</v>
      </c>
      <c r="AE2" s="193"/>
      <c r="AF2" s="144" t="s">
        <v>4</v>
      </c>
      <c r="AG2" s="144" t="s">
        <v>64</v>
      </c>
      <c r="AH2" s="144" t="s">
        <v>63</v>
      </c>
      <c r="AI2" s="175" t="s">
        <v>66</v>
      </c>
      <c r="AK2" s="179" t="s">
        <v>84</v>
      </c>
      <c r="AL2" s="180"/>
      <c r="AM2" s="185" t="s">
        <v>85</v>
      </c>
      <c r="AN2" s="180"/>
      <c r="AO2" s="186" t="s">
        <v>86</v>
      </c>
      <c r="AP2" s="187"/>
      <c r="AQ2" s="185" t="s">
        <v>87</v>
      </c>
      <c r="AR2" s="180"/>
      <c r="AS2" s="156" t="s">
        <v>123</v>
      </c>
      <c r="AT2" s="157"/>
      <c r="AU2" s="160" t="s">
        <v>119</v>
      </c>
      <c r="AV2" s="144" t="s">
        <v>120</v>
      </c>
      <c r="AW2" s="144" t="s">
        <v>121</v>
      </c>
      <c r="AX2" s="146" t="s">
        <v>122</v>
      </c>
    </row>
    <row r="3" spans="1:50" x14ac:dyDescent="0.3">
      <c r="A3" s="50"/>
      <c r="B3" s="51"/>
      <c r="D3" s="119"/>
      <c r="E3" s="115" t="s">
        <v>16</v>
      </c>
      <c r="F3" s="23"/>
      <c r="G3" s="23"/>
      <c r="H3" s="24" t="e">
        <f t="shared" ref="H3:H25" si="0">(F3*100)/G3</f>
        <v>#DIV/0!</v>
      </c>
      <c r="I3" s="33"/>
      <c r="J3" s="21">
        <f t="shared" ref="J3:J66" si="1">F3*I3+IF(N3="Фрибет",(F3*I3-F3)-F3*I3)</f>
        <v>0</v>
      </c>
      <c r="K3" s="24" t="e">
        <f t="shared" ref="K3:K66" si="2">((J3*100)/G3)</f>
        <v>#DIV/0!</v>
      </c>
      <c r="L3" s="70" t="e">
        <f t="shared" ref="L3:L66" si="3">1-M3</f>
        <v>#DIV/0!</v>
      </c>
      <c r="M3" s="75" t="e">
        <f t="shared" ref="M3:M66" si="4">1/I3</f>
        <v>#DIV/0!</v>
      </c>
      <c r="N3" s="1"/>
      <c r="O3" s="28"/>
      <c r="P3" s="19" t="s">
        <v>39</v>
      </c>
      <c r="Q3" s="31">
        <f>IF(P3="Победа",1)+IF(P3="Поражение",0)+IF(P3="Не ставил",-2)</f>
        <v>-2</v>
      </c>
      <c r="R3" s="38"/>
      <c r="T3" s="3"/>
      <c r="Z3" s="191"/>
      <c r="AA3" s="161"/>
      <c r="AB3" s="194"/>
      <c r="AC3" s="195"/>
      <c r="AD3" s="194"/>
      <c r="AE3" s="195"/>
      <c r="AF3" s="145"/>
      <c r="AG3" s="145"/>
      <c r="AH3" s="145"/>
      <c r="AI3" s="176"/>
      <c r="AK3" s="181"/>
      <c r="AL3" s="159"/>
      <c r="AM3" s="158"/>
      <c r="AN3" s="159"/>
      <c r="AO3" s="188"/>
      <c r="AP3" s="189"/>
      <c r="AQ3" s="158"/>
      <c r="AR3" s="159"/>
      <c r="AS3" s="158"/>
      <c r="AT3" s="159"/>
      <c r="AU3" s="161"/>
      <c r="AV3" s="145"/>
      <c r="AW3" s="145"/>
      <c r="AX3" s="147"/>
    </row>
    <row r="4" spans="1:50" ht="15" thickBot="1" x14ac:dyDescent="0.35">
      <c r="A4" s="50"/>
      <c r="B4" s="51"/>
      <c r="D4" s="119"/>
      <c r="E4" s="115" t="s">
        <v>16</v>
      </c>
      <c r="F4" s="14"/>
      <c r="G4" s="14"/>
      <c r="H4" s="15" t="e">
        <f t="shared" si="0"/>
        <v>#DIV/0!</v>
      </c>
      <c r="I4" s="35"/>
      <c r="J4" s="21">
        <f t="shared" si="1"/>
        <v>0</v>
      </c>
      <c r="K4" s="15" t="e">
        <f t="shared" si="2"/>
        <v>#DIV/0!</v>
      </c>
      <c r="L4" s="71" t="e">
        <f t="shared" si="3"/>
        <v>#DIV/0!</v>
      </c>
      <c r="M4" s="76" t="e">
        <f t="shared" si="4"/>
        <v>#DIV/0!</v>
      </c>
      <c r="N4" s="16"/>
      <c r="O4" s="28"/>
      <c r="P4" s="19" t="s">
        <v>39</v>
      </c>
      <c r="Q4" s="30">
        <f t="shared" ref="Q4:Q67" si="5">IF(P4="Победа",1)+IF(P4="Поражение",0)+IF(P4="Не ставил",-2)</f>
        <v>-2</v>
      </c>
      <c r="R4" s="38"/>
      <c r="Z4" s="89" t="str">
        <f t="array" ref="Z4">INDEX(E2:E71,MATCH(MAX(COUNTIF(E2:E71,E2:E71)),COUNTIF(E2:E71,E2:E71),0))</f>
        <v>Моя</v>
      </c>
      <c r="AA4" s="57" t="e">
        <f>AVERAGE(F2:F1048576)</f>
        <v>#DIV/0!</v>
      </c>
      <c r="AB4" s="177" t="e">
        <f>AVERAGE(G2:G1048576)</f>
        <v>#DIV/0!</v>
      </c>
      <c r="AC4" s="178"/>
      <c r="AD4" s="183" t="e">
        <f>AVERAGEIF(H2:H1048576, "&gt;0")</f>
        <v>#DIV/0!</v>
      </c>
      <c r="AE4" s="184"/>
      <c r="AF4" s="111" t="e">
        <f>AVERAGE(I2:I1048576)</f>
        <v>#DIV/0!</v>
      </c>
      <c r="AG4" s="85" t="e">
        <f>AVERAGEIF(L2:L1048576,"&gt;0")</f>
        <v>#DIV/0!</v>
      </c>
      <c r="AH4" s="87">
        <f t="array" ref="AH4">INDEX(N2:N71,MATCH(MAX(COUNTIF(N2:N71,N2:N71)),COUNTIF(N2:N71,N2:N71),0))</f>
        <v>0</v>
      </c>
      <c r="AI4" s="88">
        <f t="array" ref="AI4">INDEX(O2:O71,MATCH(MAX(COUNTIF(O2:O71,O2:O71)),COUNTIF(O2:O71,O2:O71),0))</f>
        <v>0</v>
      </c>
      <c r="AK4" s="182">
        <f>MAX(F2:F1048576)</f>
        <v>0</v>
      </c>
      <c r="AL4" s="178"/>
      <c r="AM4" s="177">
        <f>MIN(F2:F1048576)</f>
        <v>0</v>
      </c>
      <c r="AN4" s="178"/>
      <c r="AO4" s="183">
        <f>MAX(I2:I1048576)</f>
        <v>0</v>
      </c>
      <c r="AP4" s="184"/>
      <c r="AQ4" s="183">
        <f>MIN(I2:I1048576)</f>
        <v>0</v>
      </c>
      <c r="AR4" s="184"/>
      <c r="AS4" s="177">
        <f>MAX(J2:J1048576)</f>
        <v>0</v>
      </c>
      <c r="AT4" s="178"/>
      <c r="AU4" s="58">
        <f t="array" ref="AU4">MAX(IF(P2:P71=Мастерская!E1,J2:J71))</f>
        <v>0</v>
      </c>
      <c r="AV4" s="58">
        <f t="array" ref="AV4">MIN(IF(P2:P71=Мастерская!E1,J2:J71))</f>
        <v>0</v>
      </c>
      <c r="AW4" s="58">
        <f t="array" ref="AW4">MAX(IF(P2:P71=Мастерская!E2,F2:F71))</f>
        <v>0</v>
      </c>
      <c r="AX4" s="66">
        <f t="array" ref="AX4">MIN(IF(P2:P71=Мастерская!E2,F2:F71))</f>
        <v>0</v>
      </c>
    </row>
    <row r="5" spans="1:50" x14ac:dyDescent="0.3">
      <c r="A5" s="50"/>
      <c r="B5" s="51"/>
      <c r="D5" s="119"/>
      <c r="E5" s="115" t="s">
        <v>16</v>
      </c>
      <c r="F5" s="23"/>
      <c r="G5" s="23"/>
      <c r="H5" s="24" t="e">
        <f t="shared" si="0"/>
        <v>#DIV/0!</v>
      </c>
      <c r="I5" s="33"/>
      <c r="J5" s="21">
        <f t="shared" si="1"/>
        <v>0</v>
      </c>
      <c r="K5" s="24" t="e">
        <f t="shared" si="2"/>
        <v>#DIV/0!</v>
      </c>
      <c r="L5" s="70" t="e">
        <f t="shared" si="3"/>
        <v>#DIV/0!</v>
      </c>
      <c r="M5" s="75" t="e">
        <f t="shared" si="4"/>
        <v>#DIV/0!</v>
      </c>
      <c r="N5" s="1"/>
      <c r="O5" s="28"/>
      <c r="P5" s="19" t="s">
        <v>39</v>
      </c>
      <c r="Q5" s="31">
        <f t="shared" si="5"/>
        <v>-2</v>
      </c>
      <c r="R5" s="38"/>
    </row>
    <row r="6" spans="1:50" ht="15" thickBot="1" x14ac:dyDescent="0.35">
      <c r="A6" s="50"/>
      <c r="B6" s="51"/>
      <c r="D6" s="119"/>
      <c r="E6" s="115" t="s">
        <v>16</v>
      </c>
      <c r="F6" s="23"/>
      <c r="G6" s="23"/>
      <c r="H6" s="24" t="e">
        <f t="shared" si="0"/>
        <v>#DIV/0!</v>
      </c>
      <c r="I6" s="33"/>
      <c r="J6" s="21">
        <f t="shared" si="1"/>
        <v>0</v>
      </c>
      <c r="K6" s="24" t="e">
        <f t="shared" si="2"/>
        <v>#DIV/0!</v>
      </c>
      <c r="L6" s="70" t="e">
        <f t="shared" si="3"/>
        <v>#DIV/0!</v>
      </c>
      <c r="M6" s="75" t="e">
        <f t="shared" si="4"/>
        <v>#DIV/0!</v>
      </c>
      <c r="N6" s="1"/>
      <c r="O6" s="28"/>
      <c r="P6" s="19" t="s">
        <v>39</v>
      </c>
      <c r="Q6" s="30">
        <f t="shared" si="5"/>
        <v>-2</v>
      </c>
      <c r="R6" s="38"/>
    </row>
    <row r="7" spans="1:50" ht="15.6" thickTop="1" thickBot="1" x14ac:dyDescent="0.35">
      <c r="A7" s="50"/>
      <c r="B7" s="51"/>
      <c r="D7" s="119"/>
      <c r="E7" s="115" t="s">
        <v>16</v>
      </c>
      <c r="F7" s="23"/>
      <c r="G7" s="23"/>
      <c r="H7" s="24" t="e">
        <f t="shared" si="0"/>
        <v>#DIV/0!</v>
      </c>
      <c r="I7" s="33"/>
      <c r="J7" s="21">
        <f t="shared" si="1"/>
        <v>0</v>
      </c>
      <c r="K7" s="24" t="e">
        <f t="shared" si="2"/>
        <v>#DIV/0!</v>
      </c>
      <c r="L7" s="70" t="e">
        <f t="shared" si="3"/>
        <v>#DIV/0!</v>
      </c>
      <c r="M7" s="75" t="e">
        <f t="shared" si="4"/>
        <v>#DIV/0!</v>
      </c>
      <c r="N7" s="1"/>
      <c r="O7" s="28"/>
      <c r="P7" s="19" t="s">
        <v>39</v>
      </c>
      <c r="Q7" s="31">
        <f t="shared" si="5"/>
        <v>-2</v>
      </c>
      <c r="R7" s="38"/>
      <c r="AO7" s="196" t="s">
        <v>90</v>
      </c>
      <c r="AP7" s="203"/>
      <c r="AQ7" s="203"/>
      <c r="AR7" s="203"/>
      <c r="AS7" s="203"/>
      <c r="AT7" s="197"/>
    </row>
    <row r="8" spans="1:50" ht="15" thickTop="1" x14ac:dyDescent="0.3">
      <c r="A8" s="50"/>
      <c r="B8" s="51"/>
      <c r="D8" s="119"/>
      <c r="E8" s="115" t="s">
        <v>16</v>
      </c>
      <c r="F8" s="23"/>
      <c r="G8" s="23"/>
      <c r="H8" s="24" t="e">
        <f t="shared" si="0"/>
        <v>#DIV/0!</v>
      </c>
      <c r="I8" s="33"/>
      <c r="J8" s="21">
        <f t="shared" si="1"/>
        <v>0</v>
      </c>
      <c r="K8" s="24" t="e">
        <f t="shared" si="2"/>
        <v>#DIV/0!</v>
      </c>
      <c r="L8" s="70" t="e">
        <f t="shared" si="3"/>
        <v>#DIV/0!</v>
      </c>
      <c r="M8" s="75" t="e">
        <f t="shared" si="4"/>
        <v>#DIV/0!</v>
      </c>
      <c r="N8" s="1"/>
      <c r="O8" s="28"/>
      <c r="P8" s="19" t="s">
        <v>39</v>
      </c>
      <c r="Q8" s="30">
        <f t="shared" si="5"/>
        <v>-2</v>
      </c>
      <c r="R8" s="38"/>
      <c r="AO8" s="166" t="s">
        <v>178</v>
      </c>
      <c r="AP8" s="167"/>
      <c r="AQ8" s="168" t="s">
        <v>17</v>
      </c>
      <c r="AR8" s="167"/>
      <c r="AS8" s="168" t="s">
        <v>40</v>
      </c>
      <c r="AT8" s="169"/>
    </row>
    <row r="9" spans="1:50" ht="15" thickBot="1" x14ac:dyDescent="0.35">
      <c r="A9" s="52"/>
      <c r="B9" s="51"/>
      <c r="D9" s="119"/>
      <c r="E9" s="115" t="s">
        <v>16</v>
      </c>
      <c r="F9" s="23"/>
      <c r="G9" s="23"/>
      <c r="H9" s="24" t="e">
        <f t="shared" si="0"/>
        <v>#DIV/0!</v>
      </c>
      <c r="I9" s="33"/>
      <c r="J9" s="21">
        <f t="shared" si="1"/>
        <v>0</v>
      </c>
      <c r="K9" s="24" t="e">
        <f t="shared" si="2"/>
        <v>#DIV/0!</v>
      </c>
      <c r="L9" s="70" t="e">
        <f t="shared" si="3"/>
        <v>#DIV/0!</v>
      </c>
      <c r="M9" s="75" t="e">
        <f t="shared" si="4"/>
        <v>#DIV/0!</v>
      </c>
      <c r="N9" s="1"/>
      <c r="O9" s="28"/>
      <c r="P9" s="19" t="s">
        <v>39</v>
      </c>
      <c r="Q9" s="31">
        <f t="shared" si="5"/>
        <v>-2</v>
      </c>
      <c r="R9" s="38"/>
      <c r="AO9" s="162">
        <f>COUNTIF(N2:N1048576, "Одинар")</f>
        <v>0</v>
      </c>
      <c r="AP9" s="163"/>
      <c r="AQ9" s="164">
        <f>COUNTIF(N2:N1048576, "Экспресс")</f>
        <v>0</v>
      </c>
      <c r="AR9" s="163"/>
      <c r="AS9" s="164">
        <f>COUNTIF(N2:N1048576, "Фрибет")</f>
        <v>0</v>
      </c>
      <c r="AT9" s="165"/>
    </row>
    <row r="10" spans="1:50" ht="15" thickBot="1" x14ac:dyDescent="0.35">
      <c r="A10" s="52"/>
      <c r="B10" s="51"/>
      <c r="D10" s="119"/>
      <c r="E10" s="115" t="s">
        <v>16</v>
      </c>
      <c r="F10" s="25"/>
      <c r="G10" s="25"/>
      <c r="H10" s="26" t="e">
        <f t="shared" si="0"/>
        <v>#DIV/0!</v>
      </c>
      <c r="I10" s="36"/>
      <c r="J10" s="21">
        <f t="shared" si="1"/>
        <v>0</v>
      </c>
      <c r="K10" s="26" t="e">
        <f t="shared" si="2"/>
        <v>#DIV/0!</v>
      </c>
      <c r="L10" s="72" t="e">
        <f t="shared" si="3"/>
        <v>#DIV/0!</v>
      </c>
      <c r="M10" s="77" t="e">
        <f t="shared" si="4"/>
        <v>#DIV/0!</v>
      </c>
      <c r="N10" s="4"/>
      <c r="O10" s="28"/>
      <c r="P10" s="19" t="s">
        <v>39</v>
      </c>
      <c r="Q10" s="30">
        <f t="shared" si="5"/>
        <v>-2</v>
      </c>
      <c r="R10" s="38"/>
    </row>
    <row r="11" spans="1:50" ht="15.6" thickTop="1" thickBot="1" x14ac:dyDescent="0.35">
      <c r="A11" s="50"/>
      <c r="B11" s="51"/>
      <c r="D11" s="119"/>
      <c r="E11" s="115" t="s">
        <v>16</v>
      </c>
      <c r="F11" s="23"/>
      <c r="G11" s="23"/>
      <c r="H11" s="24" t="e">
        <f t="shared" si="0"/>
        <v>#DIV/0!</v>
      </c>
      <c r="I11" s="33"/>
      <c r="J11" s="21">
        <f t="shared" si="1"/>
        <v>0</v>
      </c>
      <c r="K11" s="24" t="e">
        <f t="shared" si="2"/>
        <v>#DIV/0!</v>
      </c>
      <c r="L11" s="70" t="e">
        <f t="shared" si="3"/>
        <v>#DIV/0!</v>
      </c>
      <c r="M11" s="75" t="e">
        <f t="shared" si="4"/>
        <v>#DIV/0!</v>
      </c>
      <c r="N11" s="1"/>
      <c r="O11" s="28"/>
      <c r="P11" s="19" t="s">
        <v>39</v>
      </c>
      <c r="Q11" s="31">
        <f t="shared" si="5"/>
        <v>-2</v>
      </c>
      <c r="R11" s="38"/>
      <c r="AO11" s="200" t="s">
        <v>177</v>
      </c>
      <c r="AP11" s="201"/>
      <c r="AQ11" s="201"/>
      <c r="AR11" s="201"/>
      <c r="AS11" s="201"/>
      <c r="AT11" s="201"/>
      <c r="AU11" s="201"/>
      <c r="AV11" s="202"/>
    </row>
    <row r="12" spans="1:50" ht="15" thickTop="1" x14ac:dyDescent="0.3">
      <c r="A12" s="50"/>
      <c r="B12" s="51"/>
      <c r="D12" s="119"/>
      <c r="E12" s="115" t="s">
        <v>16</v>
      </c>
      <c r="F12" s="21"/>
      <c r="G12" s="21"/>
      <c r="H12" s="22" t="e">
        <f t="shared" si="0"/>
        <v>#DIV/0!</v>
      </c>
      <c r="I12" s="34"/>
      <c r="J12" s="21">
        <f t="shared" si="1"/>
        <v>0</v>
      </c>
      <c r="K12" s="22" t="e">
        <f t="shared" si="2"/>
        <v>#DIV/0!</v>
      </c>
      <c r="L12" s="68" t="e">
        <f t="shared" si="3"/>
        <v>#DIV/0!</v>
      </c>
      <c r="M12" s="69" t="e">
        <f t="shared" si="4"/>
        <v>#DIV/0!</v>
      </c>
      <c r="N12" s="5"/>
      <c r="O12" s="28"/>
      <c r="P12" s="19" t="s">
        <v>39</v>
      </c>
      <c r="Q12" s="30">
        <f t="shared" si="5"/>
        <v>-2</v>
      </c>
      <c r="R12" s="38"/>
      <c r="AO12" s="154" t="s">
        <v>33</v>
      </c>
      <c r="AP12" s="155"/>
      <c r="AQ12" s="155"/>
      <c r="AR12" s="96" t="s">
        <v>109</v>
      </c>
      <c r="AS12" s="96" t="s">
        <v>110</v>
      </c>
      <c r="AT12" s="155" t="s">
        <v>111</v>
      </c>
      <c r="AU12" s="155"/>
      <c r="AV12" s="91" t="s">
        <v>112</v>
      </c>
    </row>
    <row r="13" spans="1:50" ht="15" thickBot="1" x14ac:dyDescent="0.35">
      <c r="A13" s="50"/>
      <c r="B13" s="51"/>
      <c r="D13" s="119"/>
      <c r="E13" s="115" t="s">
        <v>16</v>
      </c>
      <c r="F13" s="23"/>
      <c r="G13" s="23"/>
      <c r="H13" s="24" t="e">
        <f t="shared" si="0"/>
        <v>#DIV/0!</v>
      </c>
      <c r="I13" s="33"/>
      <c r="J13" s="21">
        <f t="shared" si="1"/>
        <v>0</v>
      </c>
      <c r="K13" s="24" t="e">
        <f t="shared" si="2"/>
        <v>#DIV/0!</v>
      </c>
      <c r="L13" s="70" t="e">
        <f t="shared" si="3"/>
        <v>#DIV/0!</v>
      </c>
      <c r="M13" s="75" t="e">
        <f t="shared" si="4"/>
        <v>#DIV/0!</v>
      </c>
      <c r="N13" s="1"/>
      <c r="O13" s="28"/>
      <c r="P13" s="19" t="s">
        <v>39</v>
      </c>
      <c r="Q13" s="31">
        <f t="shared" si="5"/>
        <v>-2</v>
      </c>
      <c r="R13" s="38"/>
      <c r="AO13" s="173">
        <f>IF(AO12="Футбол - Лига Чемпионов УЕФА",Мастерская!J1, 0)+IF(AO12="Футбол - Лига Европы УЕФА",Мастерская!J2, 0)+IF(AO12="Футбол - Еврокубки. Другое",Мастерская!J3, 0)+IF(AO12="Футбол - Россия. РПЛ",Мастерская!J4, 0)+IF(AO12="Футбол - Кубок России",Мастерская!J5, 0)+IF(AO12="Футбол - Россия. ФНЛ",Мастерская!J6, 0)+IF(AO12="Футбол - Россия. ПФЛ",Мастерская!J7, 0)+IF(AO12="Футбол - Россия. Другое",Мастерская!J8, 0)+IF(AO12="Футбол - Англия. АПЛ",Мастерская!J9, 0)+IF(AO12="Футбол - Кубок Англии",Мастерская!J10, 0)+IF(AO12="Футбол - Англия. Кубок Лиги",Мастерская!J11, 0)+IF(AO12="Футбол - Англия. Чемпионшип",Мастерская!J12, 0)+IF(AO12="Футбол - Испания. Ла Лига",Мастерская!J13, 0)+IF(AO12="Футбол - Италия. Серия А",Мастерская!J14, 0)+IF(AO12="Футбол - Германия. Бундеслига",Мастерская!J15, 0)+IF(AO12="Футбол - Франция. Лига 1",Мастерская!J16, 0)+IF(AO12="Футбол - Португалия. Лига NOS",Мастерская!J17, 0)+IF(AO12="Футбол - Турция. Суперлига",Мастерская!J18, 0)+IF(AO12="Футбол - Нидерланды. Эредивизи",Мастерская!J19, 0)+IF(AO12="Футбол - Греция. Суперлига",Мастерская!J20, 0)+IF(AO12="Футбол - Украина. УПЛ",Мастерская!J21, 0)+IF(AO12="Футбол - Кубок Либертадорес",Мастерская!J22, 0)+IF(AO12="Футбол - США/Канада. MLS",Мастерская!J23, 0)+IF(AO12="Футбол - Бразилия. Сериа А",Мастерская!J24, 0)+IF(AO12="Футбол - Аргентина. Суперлига",Мастерская!J25, 0)+IF(AO12="Футбол - Китай. Суперлига",Мастерская!J26, 0)+IF(AO12="Футбол - Сборные. Чемпионат мира",Мастерская!J27, 0)+IF(AO12="Футбол - Сборные. Чемпионат Европы",Мастерская!J28, 0)+IF(AO12="Футбол - Сборные. Лига Наций",Мастерская!J29, 0)+IF(AO12="Футбол - Сборные. Кубок Америки",Мастерская!J30, 0)+IF(AO12="Футбол - Сборные. Кубок Азии",Мастерская!J31, 0)+IF(AO12="Футбол - Сборные. Кубок Африки",Мастерская!J32, 0)+IF(AO12="Футбол - Сборные. КОНКАКАФ",Мастерская!J33, 0)+IF(AO12="Футбол - Сборные.  Другое",Мастерская!J34, 0)+IF(AO12="Хоккей - КХЛ",Мастерская!J35, 0)+IF(AO12="Хоккей - НХЛ",Мастерская!J36, 0)+IF(AO12="Хоккей - Сборные. Чемпионат мира",Мастерская!J37, 0)+IF(AO12="Хоккей - Сборные. Евротур",Мастерская!J38, 0)+IF(AO12="Смешанные единоборства - UFC",Мастерская!J39, 0)+IF(AO12="Смешанные единоборства - Bellator",Мастерская!J40, 0)+IF(AO12="Смешанные единоборства - M-1",Мастерская!J41, 0)+IF(AO12="Смешанные единоборства - Fight Nights Global",Мастерская!J42, 0)+IF(AO12="Бокс - WBA",Мастерская!J43, 0)+IF(AO12="Бокс - WBC",Мастерская!J44, 0)+IF(AO12="Бокс - WBO",Мастерская!J45, 0)+IF(AO12="Бокс - IBF",Мастерская!J46, 0)+IF(AO12="Бокс - IBO",Мастерская!J47, 0)+IF(AO12="Теннис - Уимблдон. ATP",Мастерская!J48, 0)+IF(AO12="Теннис - Уимблдон. WTA",Мастерская!J49, 0)+IF(AO12="Теннис - Australian Open",Мастерская!J50, 0)+IF(AO12="Теннис - Франция. Ролан Гаррос",Мастерская!J51, 0)+IF(AO12="Теннис - US Open",Мастерская!J52, 0)+IF(AO12="Теннис - Кубок Федерации",Мастерская!J53, 0)+IF(AO12="Теннис - Кубок Дэвиса",Мастерская!J54, 0)+IF(AO12="Теннис - Кубок Кремля",Мастерская!J55, 0)+IF(AO12="Баскетбол - Сборные. Чемпионат мира",Мастерская!J56, 0)+IF(AO12="Баскетбол - Сборные. Чемпионат Европы",Мастерская!J57, 0)+IF(AO12="Баскетбол - Евролига",Мастерская!J58, 0)+IF(AO12="Баскетбол - Еврокубок",Мастерская!J59, 0)+IF(AO12="Баскетбол - Лига Чемпионов",Мастерская!J60, 0)+IF(AO12="Баскетбол - Россия. Единая Лига ВТБ",Мастерская!J61, 0)+IF(AO12="Баскетбол - США. NBA",Мастерская!J62, 0)+IF(AO12="Волейбол - Сборные. Чемпионат мира",Мастерская!J63, 0)+IF(AO12="Волейбол - Сборные. Кубок мира",Мастерская!J64, 0)+IF(AO12="Волейбол - Сборные. Всемирный Кубок Чемпионов",Мастерская!J65, 0)+IF(AO12="Волейбол - Сборные. Лига наций",Мастерская!J66, 0)+IF(AO12="Волейбол - Сборные. Чемпионат Европы",Мастерская!J67, 0)+IF(AO12="Волейбол - Евролига",Мастерская!J68, 0)+IF(AO12="Волейбол - Чемпионат России",Мастерская!J69, 0)+IF(AO12="Биатлон - Чемпионат мира",Мастерская!J70, 0)+IF(AO12="Биатлон - Чемпионат Европы",Мастерская!J71, 0)+IF(AO12="Биатлон - Кубок мира",Мастерская!J72, 0)+IF(AO12="Биатлон - Кубок IBU",Мастерская!J73, 0)+IF(AO12="Формула-1",Мастерская!J74, 0)+IF(AO12="Киберспорт - The International. Dota 2 Championships",Мастерская!J75, 0)+IF(AO12="Киберспорт - Другое",Мастерская!J76, 0)+IF(AO12="Мини-футбол - Сборные. Чемпионат мира",Мастерская!J77, 0)+IF(AO12="Мини-футбол - Сборные. Чемпионат Европы",Мастерская!J78, 0)+IF(AO12="Мини-футбол - Лига Чемпионов УЕФА",Мастерская!J79, 0)+IF(AO12="Мини-футбол - Россия. Суперлига",Мастерская!J80, 0)+IF(AO12="Мини-футбол - Бразилия. Лига футзала",Мастерская!J81, 0)+IF(AO12="Пляжный футбол - Сборные. Чемпионат мира",Мастерская!J82, 0)+IF(AO12="Пляжный футбол - Сборные. Межконтинентальный кубок",Мастерская!J83, 0)+IF(AO12="Пляжный футбол - Сборные. Кубок Европы",Мастерская!J84, 0)+IF(AO12="Пляжный футбол - Кубок европейских чемпионов",Мастерская!J85, 0)+IF(AO12="Пляжный футбол - Чемпионат России",Мастерская!J86, 0)+IF(AO12="Настольный теннис - Сборные. Чемпионат мира",Мастерская!J87, 0)+IF(AO12="Настольный теннис - Сборные. Чемпионат Европы",Мастерская!J88, 0)+IF(AO12="Хоккей с мячом - Сборные. Чемпионат мира",Мастерская!J89, 0)+IF(AO12="Хоккей с мячом - Россия. Суперлига",Мастерская!J90, 0)+IF(AO12="Гандбол",Мастерская!J91, 0)+IF(AO12="Снукер",Мастерская!J92, 0)+IF(AO12="Скачки",Мастерская!J93, 0)+IF(AO12="Американский футбол",Мастерская!J94, 0)+IF(AO12="Бейсбол",Мастерская!J95, 0)+IF(AO12="Водное поло",Мастерская!J96, 0)+IF(AO12="Лыжные гонки",Мастерская!J97, 0)+IF(AO12="Тяжёлая атлетика",Мастерская!J98, 0)+IF(AO12="Лёгкая атлетика",Мастерская!J99, 0)+IF(AO12="Регби",Мастерская!J100, 0)+IF(AO12="Пляжный волейбол",Мастерская!J101, 0)+IF(AO12="Кёрлинг",Мастерская!J102, 0)+IF(AO12="Гольф",Мастерская!J103, 0)+IF(AO12="Прыжки с трамплина",Мастерская!J104, 0)</f>
        <v>0</v>
      </c>
      <c r="AP13" s="174"/>
      <c r="AQ13" s="174"/>
      <c r="AR13" s="95">
        <f>SUM(Мастерская!J1:J34)</f>
        <v>0</v>
      </c>
      <c r="AS13" s="95">
        <f>SUM(Мастерская!J35:J38)</f>
        <v>0</v>
      </c>
      <c r="AT13" s="174">
        <f>SUM(Мастерская!J39:J42)</f>
        <v>0</v>
      </c>
      <c r="AU13" s="174"/>
      <c r="AV13" s="97">
        <f>SUM(Мастерская!J43:J47)</f>
        <v>0</v>
      </c>
    </row>
    <row r="14" spans="1:50" ht="15" thickTop="1" x14ac:dyDescent="0.3">
      <c r="A14" s="50"/>
      <c r="B14" s="51"/>
      <c r="D14" s="119"/>
      <c r="E14" s="115" t="s">
        <v>16</v>
      </c>
      <c r="F14" s="23"/>
      <c r="G14" s="23"/>
      <c r="H14" s="24" t="e">
        <f t="shared" si="0"/>
        <v>#DIV/0!</v>
      </c>
      <c r="I14" s="33"/>
      <c r="J14" s="21">
        <f t="shared" si="1"/>
        <v>0</v>
      </c>
      <c r="K14" s="24" t="e">
        <f t="shared" si="2"/>
        <v>#DIV/0!</v>
      </c>
      <c r="L14" s="70" t="e">
        <f t="shared" si="3"/>
        <v>#DIV/0!</v>
      </c>
      <c r="M14" s="75" t="e">
        <f t="shared" si="4"/>
        <v>#DIV/0!</v>
      </c>
      <c r="N14" s="1"/>
      <c r="O14" s="28"/>
      <c r="P14" s="19" t="s">
        <v>39</v>
      </c>
      <c r="Q14" s="30">
        <f t="shared" si="5"/>
        <v>-2</v>
      </c>
      <c r="R14" s="38"/>
      <c r="AO14" s="92" t="s">
        <v>113</v>
      </c>
      <c r="AP14" s="94" t="s">
        <v>114</v>
      </c>
      <c r="AQ14" s="94" t="s">
        <v>115</v>
      </c>
      <c r="AR14" s="94" t="s">
        <v>116</v>
      </c>
      <c r="AS14" s="94" t="s">
        <v>61</v>
      </c>
      <c r="AT14" s="94" t="s">
        <v>117</v>
      </c>
      <c r="AU14" s="94" t="s">
        <v>151</v>
      </c>
      <c r="AV14" s="98" t="s">
        <v>152</v>
      </c>
    </row>
    <row r="15" spans="1:50" ht="15" thickBot="1" x14ac:dyDescent="0.35">
      <c r="A15" s="50"/>
      <c r="B15" s="51"/>
      <c r="D15" s="119"/>
      <c r="E15" s="115" t="s">
        <v>16</v>
      </c>
      <c r="F15" s="23"/>
      <c r="G15" s="23"/>
      <c r="H15" s="24" t="e">
        <f t="shared" si="0"/>
        <v>#DIV/0!</v>
      </c>
      <c r="I15" s="33"/>
      <c r="J15" s="21">
        <f t="shared" si="1"/>
        <v>0</v>
      </c>
      <c r="K15" s="24" t="e">
        <f t="shared" si="2"/>
        <v>#DIV/0!</v>
      </c>
      <c r="L15" s="70" t="e">
        <f t="shared" si="3"/>
        <v>#DIV/0!</v>
      </c>
      <c r="M15" s="75" t="e">
        <f t="shared" si="4"/>
        <v>#DIV/0!</v>
      </c>
      <c r="N15" s="1"/>
      <c r="O15" s="28"/>
      <c r="P15" s="19" t="s">
        <v>39</v>
      </c>
      <c r="Q15" s="31">
        <f t="shared" si="5"/>
        <v>-2</v>
      </c>
      <c r="R15" s="38"/>
      <c r="AO15" s="93">
        <f>SUM(Мастерская!J48:J55)</f>
        <v>0</v>
      </c>
      <c r="AP15" s="95">
        <f>SUM(Мастерская!J56:J62)</f>
        <v>0</v>
      </c>
      <c r="AQ15" s="95">
        <f>SUM(Мастерская!J63:J69)</f>
        <v>0</v>
      </c>
      <c r="AR15" s="95">
        <f>SUM(Мастерская!J70:J73)</f>
        <v>0</v>
      </c>
      <c r="AS15" s="95">
        <f>Мастерская!J74</f>
        <v>0</v>
      </c>
      <c r="AT15" s="95">
        <f>SUM(Мастерская!J75:J76)</f>
        <v>0</v>
      </c>
      <c r="AU15" s="95">
        <f>SUM(Мастерская!J77:J81)</f>
        <v>0</v>
      </c>
      <c r="AV15" s="97">
        <f>SUM(Мастерская!J82:J86)</f>
        <v>0</v>
      </c>
    </row>
    <row r="16" spans="1:50" ht="15" thickTop="1" x14ac:dyDescent="0.3">
      <c r="A16" s="50"/>
      <c r="B16" s="51"/>
      <c r="D16" s="119"/>
      <c r="E16" s="115" t="s">
        <v>16</v>
      </c>
      <c r="F16" s="23"/>
      <c r="G16" s="23"/>
      <c r="H16" s="24" t="e">
        <f t="shared" si="0"/>
        <v>#DIV/0!</v>
      </c>
      <c r="I16" s="33"/>
      <c r="J16" s="21">
        <f t="shared" si="1"/>
        <v>0</v>
      </c>
      <c r="K16" s="24" t="e">
        <f t="shared" si="2"/>
        <v>#DIV/0!</v>
      </c>
      <c r="L16" s="70" t="e">
        <f t="shared" si="3"/>
        <v>#DIV/0!</v>
      </c>
      <c r="M16" s="75" t="e">
        <f t="shared" si="4"/>
        <v>#DIV/0!</v>
      </c>
      <c r="N16" s="1"/>
      <c r="O16" s="28"/>
      <c r="P16" s="19" t="s">
        <v>39</v>
      </c>
      <c r="Q16" s="30">
        <f t="shared" si="5"/>
        <v>-2</v>
      </c>
      <c r="R16" s="38"/>
      <c r="AO16" s="99" t="s">
        <v>145</v>
      </c>
      <c r="AP16" s="100" t="s">
        <v>154</v>
      </c>
      <c r="AQ16" s="100" t="s">
        <v>144</v>
      </c>
      <c r="AR16" s="100" t="s">
        <v>155</v>
      </c>
      <c r="AS16" s="100" t="s">
        <v>146</v>
      </c>
      <c r="AT16" s="100" t="s">
        <v>153</v>
      </c>
      <c r="AU16" s="100" t="s">
        <v>143</v>
      </c>
      <c r="AV16" s="101" t="s">
        <v>157</v>
      </c>
    </row>
    <row r="17" spans="1:48" ht="15" thickBot="1" x14ac:dyDescent="0.35">
      <c r="A17" s="50"/>
      <c r="B17" s="51"/>
      <c r="D17" s="119"/>
      <c r="E17" s="115" t="s">
        <v>16</v>
      </c>
      <c r="F17" s="23"/>
      <c r="G17" s="23"/>
      <c r="H17" s="24" t="e">
        <f t="shared" si="0"/>
        <v>#DIV/0!</v>
      </c>
      <c r="I17" s="33"/>
      <c r="J17" s="21">
        <f t="shared" si="1"/>
        <v>0</v>
      </c>
      <c r="K17" s="24" t="e">
        <f t="shared" si="2"/>
        <v>#DIV/0!</v>
      </c>
      <c r="L17" s="70" t="e">
        <f t="shared" si="3"/>
        <v>#DIV/0!</v>
      </c>
      <c r="M17" s="75" t="e">
        <f t="shared" si="4"/>
        <v>#DIV/0!</v>
      </c>
      <c r="N17" s="1"/>
      <c r="O17" s="28"/>
      <c r="P17" s="19" t="s">
        <v>39</v>
      </c>
      <c r="Q17" s="31">
        <f t="shared" si="5"/>
        <v>-2</v>
      </c>
      <c r="R17" s="38"/>
      <c r="AO17" s="102">
        <f>SUM(Мастерская!J87:J88)</f>
        <v>0</v>
      </c>
      <c r="AP17" s="103">
        <f>SUM(Мастерская!J89:J90)</f>
        <v>0</v>
      </c>
      <c r="AQ17" s="103">
        <f>Мастерская!J91</f>
        <v>0</v>
      </c>
      <c r="AR17" s="103">
        <f>Мастерская!J92</f>
        <v>0</v>
      </c>
      <c r="AS17" s="103">
        <f>Мастерская!J93</f>
        <v>0</v>
      </c>
      <c r="AT17" s="103">
        <f>Мастерская!J94</f>
        <v>0</v>
      </c>
      <c r="AU17" s="103">
        <f>Мастерская!J95</f>
        <v>0</v>
      </c>
      <c r="AV17" s="104">
        <f>Мастерская!J96</f>
        <v>0</v>
      </c>
    </row>
    <row r="18" spans="1:48" ht="15" thickTop="1" x14ac:dyDescent="0.3">
      <c r="A18" s="50"/>
      <c r="B18" s="51"/>
      <c r="D18" s="119"/>
      <c r="E18" s="115" t="s">
        <v>16</v>
      </c>
      <c r="F18" s="23"/>
      <c r="G18" s="23"/>
      <c r="H18" s="24" t="e">
        <f t="shared" si="0"/>
        <v>#DIV/0!</v>
      </c>
      <c r="I18" s="33"/>
      <c r="J18" s="21">
        <f t="shared" si="1"/>
        <v>0</v>
      </c>
      <c r="K18" s="24" t="e">
        <f t="shared" si="2"/>
        <v>#DIV/0!</v>
      </c>
      <c r="L18" s="70" t="e">
        <f t="shared" si="3"/>
        <v>#DIV/0!</v>
      </c>
      <c r="M18" s="75" t="e">
        <f t="shared" si="4"/>
        <v>#DIV/0!</v>
      </c>
      <c r="N18" s="1"/>
      <c r="O18" s="28"/>
      <c r="P18" s="19" t="s">
        <v>39</v>
      </c>
      <c r="Q18" s="30">
        <f t="shared" si="5"/>
        <v>-2</v>
      </c>
      <c r="R18" s="38"/>
      <c r="AO18" s="99" t="s">
        <v>156</v>
      </c>
      <c r="AP18" s="100" t="s">
        <v>159</v>
      </c>
      <c r="AQ18" s="100" t="s">
        <v>158</v>
      </c>
      <c r="AR18" s="100" t="s">
        <v>161</v>
      </c>
      <c r="AS18" s="100" t="s">
        <v>162</v>
      </c>
      <c r="AT18" s="100" t="s">
        <v>160</v>
      </c>
      <c r="AU18" s="100" t="s">
        <v>163</v>
      </c>
      <c r="AV18" s="101" t="s">
        <v>164</v>
      </c>
    </row>
    <row r="19" spans="1:48" ht="15" thickBot="1" x14ac:dyDescent="0.35">
      <c r="A19" s="50"/>
      <c r="B19" s="51"/>
      <c r="D19" s="119"/>
      <c r="E19" s="115" t="s">
        <v>16</v>
      </c>
      <c r="F19" s="23"/>
      <c r="G19" s="23"/>
      <c r="H19" s="24" t="e">
        <f t="shared" si="0"/>
        <v>#DIV/0!</v>
      </c>
      <c r="I19" s="33"/>
      <c r="J19" s="21">
        <f t="shared" si="1"/>
        <v>0</v>
      </c>
      <c r="K19" s="24" t="e">
        <f t="shared" si="2"/>
        <v>#DIV/0!</v>
      </c>
      <c r="L19" s="70" t="e">
        <f t="shared" si="3"/>
        <v>#DIV/0!</v>
      </c>
      <c r="M19" s="75" t="e">
        <f t="shared" si="4"/>
        <v>#DIV/0!</v>
      </c>
      <c r="N19" s="1"/>
      <c r="O19" s="28"/>
      <c r="P19" s="19" t="s">
        <v>39</v>
      </c>
      <c r="Q19" s="31">
        <f t="shared" si="5"/>
        <v>-2</v>
      </c>
      <c r="R19" s="38"/>
      <c r="AO19" s="105">
        <f>Мастерская!J97</f>
        <v>0</v>
      </c>
      <c r="AP19" s="106">
        <f>Мастерская!J98</f>
        <v>0</v>
      </c>
      <c r="AQ19" s="106">
        <f>Мастерская!J99</f>
        <v>0</v>
      </c>
      <c r="AR19" s="106">
        <f>Мастерская!J100</f>
        <v>0</v>
      </c>
      <c r="AS19" s="106">
        <f>Мастерская!J101</f>
        <v>0</v>
      </c>
      <c r="AT19" s="106">
        <f>Мастерская!J102</f>
        <v>0</v>
      </c>
      <c r="AU19" s="106">
        <f>Мастерская!J103</f>
        <v>0</v>
      </c>
      <c r="AV19" s="107">
        <f>Мастерская!J104</f>
        <v>0</v>
      </c>
    </row>
    <row r="20" spans="1:48" ht="15" thickBot="1" x14ac:dyDescent="0.35">
      <c r="A20" s="50"/>
      <c r="B20" s="51"/>
      <c r="D20" s="119"/>
      <c r="E20" s="115" t="s">
        <v>16</v>
      </c>
      <c r="F20" s="23"/>
      <c r="G20" s="23"/>
      <c r="H20" s="24" t="e">
        <f t="shared" si="0"/>
        <v>#DIV/0!</v>
      </c>
      <c r="I20" s="33"/>
      <c r="J20" s="21">
        <f t="shared" si="1"/>
        <v>0</v>
      </c>
      <c r="K20" s="24" t="e">
        <f t="shared" si="2"/>
        <v>#DIV/0!</v>
      </c>
      <c r="L20" s="70" t="e">
        <f t="shared" si="3"/>
        <v>#DIV/0!</v>
      </c>
      <c r="M20" s="75" t="e">
        <f t="shared" si="4"/>
        <v>#DIV/0!</v>
      </c>
      <c r="N20" s="1"/>
      <c r="O20" s="28"/>
      <c r="P20" s="19" t="s">
        <v>39</v>
      </c>
      <c r="Q20" s="30">
        <f t="shared" si="5"/>
        <v>-2</v>
      </c>
      <c r="R20" s="38"/>
    </row>
    <row r="21" spans="1:48" ht="15.6" thickTop="1" thickBot="1" x14ac:dyDescent="0.35">
      <c r="A21" s="50"/>
      <c r="B21" s="51"/>
      <c r="D21" s="119"/>
      <c r="E21" s="115" t="s">
        <v>16</v>
      </c>
      <c r="F21" s="23"/>
      <c r="G21" s="23"/>
      <c r="H21" s="24" t="e">
        <f t="shared" si="0"/>
        <v>#DIV/0!</v>
      </c>
      <c r="I21" s="33"/>
      <c r="J21" s="21">
        <f t="shared" si="1"/>
        <v>0</v>
      </c>
      <c r="K21" s="24" t="e">
        <f t="shared" si="2"/>
        <v>#DIV/0!</v>
      </c>
      <c r="L21" s="70" t="e">
        <f t="shared" si="3"/>
        <v>#DIV/0!</v>
      </c>
      <c r="M21" s="75" t="e">
        <f t="shared" si="4"/>
        <v>#DIV/0!</v>
      </c>
      <c r="N21" s="1"/>
      <c r="O21" s="28"/>
      <c r="P21" s="19" t="s">
        <v>39</v>
      </c>
      <c r="Q21" s="31">
        <f t="shared" si="5"/>
        <v>-2</v>
      </c>
      <c r="R21" s="38"/>
      <c r="AO21" s="170" t="s">
        <v>202</v>
      </c>
      <c r="AP21" s="171"/>
      <c r="AQ21" s="171"/>
      <c r="AR21" s="171"/>
      <c r="AS21" s="172"/>
    </row>
    <row r="22" spans="1:48" ht="16.5" customHeight="1" thickTop="1" x14ac:dyDescent="0.3">
      <c r="A22" s="50"/>
      <c r="B22" s="51"/>
      <c r="D22" s="119"/>
      <c r="E22" s="115" t="s">
        <v>16</v>
      </c>
      <c r="F22" s="23"/>
      <c r="G22" s="23"/>
      <c r="H22" s="24" t="e">
        <f t="shared" si="0"/>
        <v>#DIV/0!</v>
      </c>
      <c r="I22" s="33"/>
      <c r="J22" s="21">
        <f t="shared" si="1"/>
        <v>0</v>
      </c>
      <c r="K22" s="24" t="e">
        <f t="shared" si="2"/>
        <v>#DIV/0!</v>
      </c>
      <c r="L22" s="70" t="e">
        <f t="shared" si="3"/>
        <v>#DIV/0!</v>
      </c>
      <c r="M22" s="75" t="e">
        <f t="shared" si="4"/>
        <v>#DIV/0!</v>
      </c>
      <c r="N22" s="1"/>
      <c r="O22" s="28"/>
      <c r="P22" s="19" t="s">
        <v>39</v>
      </c>
      <c r="Q22" s="30">
        <f t="shared" si="5"/>
        <v>-2</v>
      </c>
      <c r="R22" s="38"/>
      <c r="T22" s="42"/>
      <c r="U22" s="42"/>
      <c r="V22" s="42"/>
      <c r="W22" s="42"/>
      <c r="X22" s="42"/>
      <c r="Y22" s="42"/>
      <c r="Z22" s="42"/>
      <c r="AA22" s="42"/>
      <c r="AB22" s="42"/>
      <c r="AO22" s="113" t="s">
        <v>180</v>
      </c>
      <c r="AP22" s="96" t="s">
        <v>181</v>
      </c>
      <c r="AQ22" s="96" t="s">
        <v>182</v>
      </c>
      <c r="AR22" s="112" t="s">
        <v>183</v>
      </c>
      <c r="AS22" s="91" t="s">
        <v>184</v>
      </c>
    </row>
    <row r="23" spans="1:48" ht="15.75" customHeight="1" thickBot="1" x14ac:dyDescent="0.35">
      <c r="A23" s="50"/>
      <c r="B23" s="51"/>
      <c r="D23" s="119"/>
      <c r="E23" s="115" t="s">
        <v>16</v>
      </c>
      <c r="F23" s="23"/>
      <c r="G23" s="23"/>
      <c r="H23" s="24" t="e">
        <f t="shared" si="0"/>
        <v>#DIV/0!</v>
      </c>
      <c r="I23" s="33"/>
      <c r="J23" s="21">
        <f t="shared" si="1"/>
        <v>0</v>
      </c>
      <c r="K23" s="24" t="e">
        <f t="shared" si="2"/>
        <v>#DIV/0!</v>
      </c>
      <c r="L23" s="70" t="e">
        <f t="shared" si="3"/>
        <v>#DIV/0!</v>
      </c>
      <c r="M23" s="75" t="e">
        <f t="shared" si="4"/>
        <v>#DIV/0!</v>
      </c>
      <c r="N23" s="1"/>
      <c r="O23" s="28"/>
      <c r="P23" s="19" t="s">
        <v>39</v>
      </c>
      <c r="Q23" s="31">
        <f t="shared" si="5"/>
        <v>-2</v>
      </c>
      <c r="R23" s="38"/>
      <c r="T23" s="42"/>
      <c r="U23" s="42"/>
      <c r="V23" s="42"/>
      <c r="W23" s="42"/>
      <c r="X23" s="42"/>
      <c r="Y23" s="42"/>
      <c r="Z23" s="42"/>
      <c r="AA23" s="42"/>
      <c r="AO23" s="93">
        <f>COUNTIF(D2:D1048576, "Победитель")</f>
        <v>0</v>
      </c>
      <c r="AP23" s="95">
        <f>COUNTIF(D2:D1048576, "Ничья")</f>
        <v>0</v>
      </c>
      <c r="AQ23" s="95">
        <f>COUNTIF(D2:D1048576, "Двойной шанс")</f>
        <v>0</v>
      </c>
      <c r="AR23" s="95">
        <f>COUNTIF(D2:D1048576, "Победитель (при ничьей - возврат)")</f>
        <v>0</v>
      </c>
      <c r="AS23" s="97">
        <f>COUNTIF(D2:D1048576, "Фора")</f>
        <v>0</v>
      </c>
    </row>
    <row r="24" spans="1:48" ht="15" customHeight="1" thickTop="1" thickBot="1" x14ac:dyDescent="0.35">
      <c r="A24" s="50"/>
      <c r="B24" s="51"/>
      <c r="D24" s="119"/>
      <c r="E24" s="115" t="s">
        <v>16</v>
      </c>
      <c r="F24" s="23"/>
      <c r="G24" s="23"/>
      <c r="H24" s="24" t="e">
        <f t="shared" si="0"/>
        <v>#DIV/0!</v>
      </c>
      <c r="I24" s="33"/>
      <c r="J24" s="21">
        <f t="shared" si="1"/>
        <v>0</v>
      </c>
      <c r="K24" s="24" t="e">
        <f t="shared" si="2"/>
        <v>#DIV/0!</v>
      </c>
      <c r="L24" s="70" t="e">
        <f t="shared" si="3"/>
        <v>#DIV/0!</v>
      </c>
      <c r="M24" s="75" t="e">
        <f t="shared" si="4"/>
        <v>#DIV/0!</v>
      </c>
      <c r="N24" s="1"/>
      <c r="O24" s="28"/>
      <c r="P24" s="19" t="s">
        <v>39</v>
      </c>
      <c r="Q24" s="30">
        <f t="shared" si="5"/>
        <v>-2</v>
      </c>
      <c r="R24" s="38"/>
      <c r="T24" s="42"/>
      <c r="U24" s="42"/>
      <c r="V24" s="42"/>
      <c r="W24" s="42"/>
      <c r="X24" s="42"/>
      <c r="Y24" s="42"/>
      <c r="Z24" s="42"/>
      <c r="AA24" s="42"/>
      <c r="AB24" s="42"/>
      <c r="AO24" s="92" t="s">
        <v>185</v>
      </c>
      <c r="AP24" s="94" t="s">
        <v>186</v>
      </c>
      <c r="AQ24" s="120" t="s">
        <v>187</v>
      </c>
      <c r="AR24" s="94" t="s">
        <v>189</v>
      </c>
      <c r="AS24" s="98" t="s">
        <v>190</v>
      </c>
    </row>
    <row r="25" spans="1:48" ht="15" customHeight="1" thickTop="1" thickBot="1" x14ac:dyDescent="0.35">
      <c r="A25" s="53"/>
      <c r="B25" s="54"/>
      <c r="D25" s="119"/>
      <c r="E25" s="115" t="s">
        <v>16</v>
      </c>
      <c r="F25" s="23"/>
      <c r="G25" s="23"/>
      <c r="H25" s="24" t="e">
        <f t="shared" si="0"/>
        <v>#DIV/0!</v>
      </c>
      <c r="I25" s="33"/>
      <c r="J25" s="21">
        <f t="shared" si="1"/>
        <v>0</v>
      </c>
      <c r="K25" s="24" t="e">
        <f t="shared" si="2"/>
        <v>#DIV/0!</v>
      </c>
      <c r="L25" s="70" t="e">
        <f t="shared" si="3"/>
        <v>#DIV/0!</v>
      </c>
      <c r="M25" s="75" t="e">
        <f t="shared" si="4"/>
        <v>#DIV/0!</v>
      </c>
      <c r="N25" s="1"/>
      <c r="O25" s="28"/>
      <c r="P25" s="19" t="s">
        <v>39</v>
      </c>
      <c r="Q25" s="31">
        <f t="shared" si="5"/>
        <v>-2</v>
      </c>
      <c r="R25" s="38"/>
      <c r="U25" s="59"/>
      <c r="W25" s="60"/>
      <c r="AL25" s="80" t="s">
        <v>242</v>
      </c>
      <c r="AM25" s="12" t="s">
        <v>243</v>
      </c>
      <c r="AO25" s="93">
        <f>COUNTIF(D2:D1048576, "Тотал")</f>
        <v>0</v>
      </c>
      <c r="AP25" s="95">
        <f>COUNTIF(D2:D1048576, "Точный счёт")</f>
        <v>0</v>
      </c>
      <c r="AQ25" s="95">
        <f>COUNTIF(D2:D1048576,"Точный счёт + исход ""Другой""")</f>
        <v>0</v>
      </c>
      <c r="AR25" s="95">
        <f>COUNTIF(D2:D1048576, "Кол-во голов")</f>
        <v>0</v>
      </c>
      <c r="AS25" s="97">
        <f>COUNTIF(D2:D1048576, "Инд. Тотал")</f>
        <v>0</v>
      </c>
    </row>
    <row r="26" spans="1:48" ht="15.75" customHeight="1" thickTop="1" thickBot="1" x14ac:dyDescent="0.35">
      <c r="A26" s="50"/>
      <c r="B26" s="51"/>
      <c r="D26" s="119"/>
      <c r="E26" s="115" t="s">
        <v>16</v>
      </c>
      <c r="F26" s="25"/>
      <c r="G26" s="25"/>
      <c r="H26" s="26" t="e">
        <f>(F26*100)/G26</f>
        <v>#DIV/0!</v>
      </c>
      <c r="I26" s="36"/>
      <c r="J26" s="21">
        <f t="shared" si="1"/>
        <v>0</v>
      </c>
      <c r="K26" s="26" t="e">
        <f t="shared" si="2"/>
        <v>#DIV/0!</v>
      </c>
      <c r="L26" s="72" t="e">
        <f t="shared" si="3"/>
        <v>#DIV/0!</v>
      </c>
      <c r="M26" s="77" t="e">
        <f t="shared" si="4"/>
        <v>#DIV/0!</v>
      </c>
      <c r="N26" s="4"/>
      <c r="O26" s="28"/>
      <c r="P26" s="19" t="s">
        <v>39</v>
      </c>
      <c r="Q26" s="30">
        <f t="shared" si="5"/>
        <v>-2</v>
      </c>
      <c r="R26" s="38"/>
      <c r="AL26" s="139">
        <f>SUM(A2:A71)</f>
        <v>0</v>
      </c>
      <c r="AM26" s="140">
        <f>SUM(B2:B71)</f>
        <v>0</v>
      </c>
      <c r="AO26" s="92" t="s">
        <v>191</v>
      </c>
      <c r="AP26" s="94" t="s">
        <v>192</v>
      </c>
      <c r="AQ26" s="94" t="s">
        <v>193</v>
      </c>
      <c r="AR26" s="94" t="s">
        <v>194</v>
      </c>
      <c r="AS26" s="98" t="s">
        <v>195</v>
      </c>
    </row>
    <row r="27" spans="1:48" ht="15.75" customHeight="1" thickTop="1" thickBot="1" x14ac:dyDescent="0.35">
      <c r="A27" s="50"/>
      <c r="B27" s="51"/>
      <c r="D27" s="119"/>
      <c r="E27" s="115" t="s">
        <v>16</v>
      </c>
      <c r="F27" s="23"/>
      <c r="G27" s="23"/>
      <c r="H27" s="24" t="e">
        <f t="shared" ref="H27:H71" si="6">(F27*100)/G27</f>
        <v>#DIV/0!</v>
      </c>
      <c r="I27" s="33"/>
      <c r="J27" s="21">
        <f t="shared" si="1"/>
        <v>0</v>
      </c>
      <c r="K27" s="24" t="e">
        <f t="shared" si="2"/>
        <v>#DIV/0!</v>
      </c>
      <c r="L27" s="70" t="e">
        <f t="shared" si="3"/>
        <v>#DIV/0!</v>
      </c>
      <c r="M27" s="75" t="e">
        <f t="shared" si="4"/>
        <v>#DIV/0!</v>
      </c>
      <c r="N27" s="1"/>
      <c r="O27" s="28"/>
      <c r="P27" s="19" t="s">
        <v>39</v>
      </c>
      <c r="Q27" s="31">
        <f t="shared" si="5"/>
        <v>-2</v>
      </c>
      <c r="R27" s="38"/>
      <c r="AL27" s="196" t="s">
        <v>244</v>
      </c>
      <c r="AM27" s="197"/>
      <c r="AO27" s="93">
        <f>COUNTIF(D2:D1048576, "Обе команды забьют")</f>
        <v>0</v>
      </c>
      <c r="AP27" s="95">
        <f>COUNTIF(D2:D1048576, "Сколько команд забьёт")</f>
        <v>0</v>
      </c>
      <c r="AQ27" s="95">
        <f>COUNTIF(D2:D1048576, "Кто забьёт 1-й гол")</f>
        <v>0</v>
      </c>
      <c r="AR27" s="95">
        <f>COUNTIF(D2:D1048576, "Кто забьёт последний гол")</f>
        <v>0</v>
      </c>
      <c r="AS27" s="97">
        <f>COUNTIF(D2:D1048576, "Наиболее результативный тайм")</f>
        <v>0</v>
      </c>
    </row>
    <row r="28" spans="1:48" ht="15.75" customHeight="1" thickTop="1" thickBot="1" x14ac:dyDescent="0.35">
      <c r="A28" s="50"/>
      <c r="B28" s="51"/>
      <c r="D28" s="119"/>
      <c r="E28" s="115" t="s">
        <v>16</v>
      </c>
      <c r="F28" s="23"/>
      <c r="G28" s="23"/>
      <c r="H28" s="24" t="e">
        <f t="shared" si="6"/>
        <v>#DIV/0!</v>
      </c>
      <c r="I28" s="33"/>
      <c r="J28" s="21">
        <f t="shared" si="1"/>
        <v>0</v>
      </c>
      <c r="K28" s="24" t="e">
        <f t="shared" si="2"/>
        <v>#DIV/0!</v>
      </c>
      <c r="L28" s="70" t="e">
        <f t="shared" si="3"/>
        <v>#DIV/0!</v>
      </c>
      <c r="M28" s="75" t="e">
        <f t="shared" si="4"/>
        <v>#DIV/0!</v>
      </c>
      <c r="N28" s="1"/>
      <c r="O28" s="28"/>
      <c r="P28" s="19" t="s">
        <v>39</v>
      </c>
      <c r="Q28" s="30">
        <f t="shared" si="5"/>
        <v>-2</v>
      </c>
      <c r="R28" s="38"/>
      <c r="AL28" s="198">
        <f>(AM26-AL26)</f>
        <v>0</v>
      </c>
      <c r="AM28" s="199"/>
      <c r="AO28" s="92" t="s">
        <v>196</v>
      </c>
      <c r="AP28" s="94" t="s">
        <v>197</v>
      </c>
      <c r="AQ28" s="94" t="s">
        <v>198</v>
      </c>
      <c r="AR28" s="94" t="s">
        <v>203</v>
      </c>
      <c r="AS28" s="98" t="s">
        <v>199</v>
      </c>
    </row>
    <row r="29" spans="1:48" ht="15.75" customHeight="1" thickBot="1" x14ac:dyDescent="0.35">
      <c r="A29" s="50"/>
      <c r="B29" s="51"/>
      <c r="D29" s="119"/>
      <c r="E29" s="115" t="s">
        <v>16</v>
      </c>
      <c r="F29" s="23"/>
      <c r="G29" s="23"/>
      <c r="H29" s="24" t="e">
        <f t="shared" si="6"/>
        <v>#DIV/0!</v>
      </c>
      <c r="I29" s="33"/>
      <c r="J29" s="21">
        <f t="shared" si="1"/>
        <v>0</v>
      </c>
      <c r="K29" s="24" t="e">
        <f t="shared" si="2"/>
        <v>#DIV/0!</v>
      </c>
      <c r="L29" s="70" t="e">
        <f t="shared" si="3"/>
        <v>#DIV/0!</v>
      </c>
      <c r="M29" s="75" t="e">
        <f t="shared" si="4"/>
        <v>#DIV/0!</v>
      </c>
      <c r="N29" s="1"/>
      <c r="O29" s="28"/>
      <c r="P29" s="19" t="s">
        <v>39</v>
      </c>
      <c r="Q29" s="31">
        <f t="shared" si="5"/>
        <v>-2</v>
      </c>
      <c r="R29" s="38"/>
      <c r="AO29" s="93">
        <f>COUNTIF(D2:D1048576, "Чет/нечет")</f>
        <v>0</v>
      </c>
      <c r="AP29" s="95">
        <f>COUNTIF(D2:D1048576, "Победитель + Разница мячей")</f>
        <v>0</v>
      </c>
      <c r="AQ29" s="95">
        <f>COUNTIF(D2:D1048576, "Победитель + Обе забьют")</f>
        <v>0</v>
      </c>
      <c r="AR29" s="95">
        <f>COUNTIF(D2:D1048576, "Победитель + Тотал")</f>
        <v>0</v>
      </c>
      <c r="AS29" s="97">
        <f>COUNTIF(D2:D1048576, "Автор гола")</f>
        <v>0</v>
      </c>
    </row>
    <row r="30" spans="1:48" ht="15.75" customHeight="1" thickTop="1" x14ac:dyDescent="0.3">
      <c r="A30" s="50"/>
      <c r="B30" s="51"/>
      <c r="D30" s="119"/>
      <c r="E30" s="115" t="s">
        <v>16</v>
      </c>
      <c r="F30" s="23"/>
      <c r="G30" s="23"/>
      <c r="H30" s="24" t="e">
        <f t="shared" si="6"/>
        <v>#DIV/0!</v>
      </c>
      <c r="I30" s="33"/>
      <c r="J30" s="21">
        <f t="shared" si="1"/>
        <v>0</v>
      </c>
      <c r="K30" s="24" t="e">
        <f t="shared" si="2"/>
        <v>#DIV/0!</v>
      </c>
      <c r="L30" s="70" t="e">
        <f t="shared" si="3"/>
        <v>#DIV/0!</v>
      </c>
      <c r="M30" s="75" t="e">
        <f t="shared" si="4"/>
        <v>#DIV/0!</v>
      </c>
      <c r="N30" s="1"/>
      <c r="O30" s="28"/>
      <c r="P30" s="19" t="s">
        <v>39</v>
      </c>
      <c r="Q30" s="30">
        <f t="shared" si="5"/>
        <v>-2</v>
      </c>
      <c r="R30" s="38"/>
      <c r="AO30" s="92" t="s">
        <v>200</v>
      </c>
      <c r="AP30" s="94" t="s">
        <v>201</v>
      </c>
      <c r="AQ30" s="94"/>
      <c r="AR30" s="94"/>
      <c r="AS30" s="98"/>
    </row>
    <row r="31" spans="1:48" ht="15.75" customHeight="1" thickBot="1" x14ac:dyDescent="0.35">
      <c r="A31" s="50"/>
      <c r="B31" s="54"/>
      <c r="D31" s="119"/>
      <c r="E31" s="115" t="s">
        <v>16</v>
      </c>
      <c r="F31" s="23"/>
      <c r="G31" s="23"/>
      <c r="H31" s="24" t="e">
        <f t="shared" si="6"/>
        <v>#DIV/0!</v>
      </c>
      <c r="I31" s="33"/>
      <c r="J31" s="21">
        <f t="shared" si="1"/>
        <v>0</v>
      </c>
      <c r="K31" s="24" t="e">
        <f t="shared" si="2"/>
        <v>#DIV/0!</v>
      </c>
      <c r="L31" s="70" t="e">
        <f t="shared" si="3"/>
        <v>#DIV/0!</v>
      </c>
      <c r="M31" s="75" t="e">
        <f t="shared" si="4"/>
        <v>#DIV/0!</v>
      </c>
      <c r="N31" s="1"/>
      <c r="O31" s="28"/>
      <c r="P31" s="19" t="s">
        <v>39</v>
      </c>
      <c r="Q31" s="31">
        <f t="shared" si="5"/>
        <v>-2</v>
      </c>
      <c r="R31" s="38"/>
      <c r="AO31" s="121">
        <f>COUNTIF(D2:D1048576, "Лучший бомбардир")</f>
        <v>0</v>
      </c>
      <c r="AP31" s="122">
        <f>COUNTIF(D2:D1048576, "Победитель турнира")</f>
        <v>0</v>
      </c>
      <c r="AQ31" s="122"/>
      <c r="AR31" s="122"/>
      <c r="AS31" s="123"/>
    </row>
    <row r="32" spans="1:48" ht="15.75" customHeight="1" x14ac:dyDescent="0.3">
      <c r="A32" s="55"/>
      <c r="B32" s="51"/>
      <c r="D32" s="119"/>
      <c r="E32" s="115" t="s">
        <v>16</v>
      </c>
      <c r="F32" s="23"/>
      <c r="G32" s="23"/>
      <c r="H32" s="24" t="e">
        <f t="shared" si="6"/>
        <v>#DIV/0!</v>
      </c>
      <c r="I32" s="33"/>
      <c r="J32" s="21">
        <f t="shared" si="1"/>
        <v>0</v>
      </c>
      <c r="K32" s="24" t="e">
        <f t="shared" si="2"/>
        <v>#DIV/0!</v>
      </c>
      <c r="L32" s="70" t="e">
        <f t="shared" si="3"/>
        <v>#DIV/0!</v>
      </c>
      <c r="M32" s="75" t="e">
        <f t="shared" si="4"/>
        <v>#DIV/0!</v>
      </c>
      <c r="N32" s="1"/>
      <c r="O32" s="28"/>
      <c r="P32" s="19" t="s">
        <v>39</v>
      </c>
      <c r="Q32" s="30">
        <f t="shared" si="5"/>
        <v>-2</v>
      </c>
      <c r="R32" s="38"/>
    </row>
    <row r="33" spans="1:18" ht="15" customHeight="1" x14ac:dyDescent="0.3">
      <c r="A33" s="50"/>
      <c r="B33" s="49"/>
      <c r="D33" s="119"/>
      <c r="E33" s="115" t="s">
        <v>16</v>
      </c>
      <c r="F33" s="23"/>
      <c r="G33" s="23"/>
      <c r="H33" s="24" t="e">
        <f t="shared" si="6"/>
        <v>#DIV/0!</v>
      </c>
      <c r="I33" s="33"/>
      <c r="J33" s="21">
        <f t="shared" si="1"/>
        <v>0</v>
      </c>
      <c r="K33" s="24" t="e">
        <f t="shared" si="2"/>
        <v>#DIV/0!</v>
      </c>
      <c r="L33" s="70" t="e">
        <f t="shared" si="3"/>
        <v>#DIV/0!</v>
      </c>
      <c r="M33" s="75" t="e">
        <f t="shared" si="4"/>
        <v>#DIV/0!</v>
      </c>
      <c r="N33" s="1"/>
      <c r="O33" s="28"/>
      <c r="P33" s="19" t="s">
        <v>39</v>
      </c>
      <c r="Q33" s="30">
        <f t="shared" si="5"/>
        <v>-2</v>
      </c>
      <c r="R33" s="38"/>
    </row>
    <row r="34" spans="1:18" ht="15" customHeight="1" x14ac:dyDescent="0.3">
      <c r="A34" s="50"/>
      <c r="B34" s="51"/>
      <c r="D34" s="119"/>
      <c r="E34" s="115" t="s">
        <v>16</v>
      </c>
      <c r="F34" s="23"/>
      <c r="G34" s="23"/>
      <c r="H34" s="24" t="e">
        <f t="shared" si="6"/>
        <v>#DIV/0!</v>
      </c>
      <c r="I34" s="33"/>
      <c r="J34" s="21">
        <f t="shared" si="1"/>
        <v>0</v>
      </c>
      <c r="K34" s="24" t="e">
        <f t="shared" si="2"/>
        <v>#DIV/0!</v>
      </c>
      <c r="L34" s="70" t="e">
        <f t="shared" si="3"/>
        <v>#DIV/0!</v>
      </c>
      <c r="M34" s="75" t="e">
        <f t="shared" si="4"/>
        <v>#DIV/0!</v>
      </c>
      <c r="N34" s="1"/>
      <c r="O34" s="28"/>
      <c r="P34" s="19" t="s">
        <v>39</v>
      </c>
      <c r="Q34" s="30">
        <f t="shared" si="5"/>
        <v>-2</v>
      </c>
      <c r="R34" s="38"/>
    </row>
    <row r="35" spans="1:18" ht="15" customHeight="1" x14ac:dyDescent="0.3">
      <c r="A35" s="50"/>
      <c r="B35" s="51"/>
      <c r="D35" s="119"/>
      <c r="E35" s="115" t="s">
        <v>16</v>
      </c>
      <c r="F35" s="23"/>
      <c r="G35" s="23"/>
      <c r="H35" s="24" t="e">
        <f t="shared" si="6"/>
        <v>#DIV/0!</v>
      </c>
      <c r="I35" s="33"/>
      <c r="J35" s="21">
        <f t="shared" si="1"/>
        <v>0</v>
      </c>
      <c r="K35" s="24" t="e">
        <f t="shared" si="2"/>
        <v>#DIV/0!</v>
      </c>
      <c r="L35" s="70" t="e">
        <f t="shared" si="3"/>
        <v>#DIV/0!</v>
      </c>
      <c r="M35" s="75" t="e">
        <f t="shared" si="4"/>
        <v>#DIV/0!</v>
      </c>
      <c r="N35" s="1"/>
      <c r="O35" s="28"/>
      <c r="P35" s="19" t="s">
        <v>39</v>
      </c>
      <c r="Q35" s="30">
        <f t="shared" si="5"/>
        <v>-2</v>
      </c>
      <c r="R35" s="38"/>
    </row>
    <row r="36" spans="1:18" ht="15" customHeight="1" x14ac:dyDescent="0.3">
      <c r="A36" s="50"/>
      <c r="B36" s="51"/>
      <c r="D36" s="119"/>
      <c r="E36" s="115" t="s">
        <v>16</v>
      </c>
      <c r="F36" s="23"/>
      <c r="G36" s="23"/>
      <c r="H36" s="24" t="e">
        <f t="shared" si="6"/>
        <v>#DIV/0!</v>
      </c>
      <c r="I36" s="33"/>
      <c r="J36" s="21">
        <f t="shared" si="1"/>
        <v>0</v>
      </c>
      <c r="K36" s="24" t="e">
        <f t="shared" si="2"/>
        <v>#DIV/0!</v>
      </c>
      <c r="L36" s="70" t="e">
        <f t="shared" si="3"/>
        <v>#DIV/0!</v>
      </c>
      <c r="M36" s="75" t="e">
        <f t="shared" si="4"/>
        <v>#DIV/0!</v>
      </c>
      <c r="N36" s="1"/>
      <c r="O36" s="28"/>
      <c r="P36" s="19" t="s">
        <v>39</v>
      </c>
      <c r="Q36" s="30">
        <f t="shared" si="5"/>
        <v>-2</v>
      </c>
      <c r="R36" s="38"/>
    </row>
    <row r="37" spans="1:18" ht="15" customHeight="1" x14ac:dyDescent="0.3">
      <c r="A37" s="50"/>
      <c r="B37" s="51"/>
      <c r="D37" s="119"/>
      <c r="E37" s="115" t="s">
        <v>16</v>
      </c>
      <c r="F37" s="23"/>
      <c r="G37" s="23"/>
      <c r="H37" s="24" t="e">
        <f t="shared" si="6"/>
        <v>#DIV/0!</v>
      </c>
      <c r="I37" s="33"/>
      <c r="J37" s="21">
        <f t="shared" si="1"/>
        <v>0</v>
      </c>
      <c r="K37" s="24" t="e">
        <f t="shared" si="2"/>
        <v>#DIV/0!</v>
      </c>
      <c r="L37" s="70" t="e">
        <f t="shared" si="3"/>
        <v>#DIV/0!</v>
      </c>
      <c r="M37" s="75" t="e">
        <f t="shared" si="4"/>
        <v>#DIV/0!</v>
      </c>
      <c r="N37" s="1"/>
      <c r="O37" s="28"/>
      <c r="P37" s="19" t="s">
        <v>39</v>
      </c>
      <c r="Q37" s="30">
        <f t="shared" si="5"/>
        <v>-2</v>
      </c>
      <c r="R37" s="38"/>
    </row>
    <row r="38" spans="1:18" ht="15" customHeight="1" x14ac:dyDescent="0.3">
      <c r="A38" s="50"/>
      <c r="B38" s="51"/>
      <c r="D38" s="119"/>
      <c r="E38" s="115" t="s">
        <v>16</v>
      </c>
      <c r="F38" s="23"/>
      <c r="G38" s="23"/>
      <c r="H38" s="24" t="e">
        <f t="shared" si="6"/>
        <v>#DIV/0!</v>
      </c>
      <c r="I38" s="33"/>
      <c r="J38" s="21">
        <f t="shared" si="1"/>
        <v>0</v>
      </c>
      <c r="K38" s="24" t="e">
        <f t="shared" si="2"/>
        <v>#DIV/0!</v>
      </c>
      <c r="L38" s="70" t="e">
        <f t="shared" si="3"/>
        <v>#DIV/0!</v>
      </c>
      <c r="M38" s="75" t="e">
        <f t="shared" si="4"/>
        <v>#DIV/0!</v>
      </c>
      <c r="N38" s="1"/>
      <c r="O38" s="28"/>
      <c r="P38" s="19" t="s">
        <v>39</v>
      </c>
      <c r="Q38" s="30">
        <f t="shared" si="5"/>
        <v>-2</v>
      </c>
      <c r="R38" s="38"/>
    </row>
    <row r="39" spans="1:18" ht="15" customHeight="1" x14ac:dyDescent="0.3">
      <c r="A39" s="50"/>
      <c r="B39" s="51"/>
      <c r="D39" s="119"/>
      <c r="E39" s="115" t="s">
        <v>16</v>
      </c>
      <c r="F39" s="23"/>
      <c r="G39" s="23"/>
      <c r="H39" s="24" t="e">
        <f t="shared" si="6"/>
        <v>#DIV/0!</v>
      </c>
      <c r="I39" s="33"/>
      <c r="J39" s="21">
        <f t="shared" si="1"/>
        <v>0</v>
      </c>
      <c r="K39" s="24" t="e">
        <f t="shared" si="2"/>
        <v>#DIV/0!</v>
      </c>
      <c r="L39" s="70" t="e">
        <f t="shared" si="3"/>
        <v>#DIV/0!</v>
      </c>
      <c r="M39" s="75" t="e">
        <f t="shared" si="4"/>
        <v>#DIV/0!</v>
      </c>
      <c r="N39" s="1"/>
      <c r="O39" s="28"/>
      <c r="P39" s="19" t="s">
        <v>39</v>
      </c>
      <c r="Q39" s="30">
        <f t="shared" si="5"/>
        <v>-2</v>
      </c>
      <c r="R39" s="38"/>
    </row>
    <row r="40" spans="1:18" ht="15" customHeight="1" x14ac:dyDescent="0.3">
      <c r="A40" s="50"/>
      <c r="B40" s="51"/>
      <c r="D40" s="119"/>
      <c r="E40" s="115" t="s">
        <v>16</v>
      </c>
      <c r="F40" s="23"/>
      <c r="G40" s="23"/>
      <c r="H40" s="24" t="e">
        <f t="shared" si="6"/>
        <v>#DIV/0!</v>
      </c>
      <c r="I40" s="33"/>
      <c r="J40" s="21">
        <f t="shared" si="1"/>
        <v>0</v>
      </c>
      <c r="K40" s="24" t="e">
        <f t="shared" si="2"/>
        <v>#DIV/0!</v>
      </c>
      <c r="L40" s="70" t="e">
        <f t="shared" si="3"/>
        <v>#DIV/0!</v>
      </c>
      <c r="M40" s="75" t="e">
        <f t="shared" si="4"/>
        <v>#DIV/0!</v>
      </c>
      <c r="N40" s="1"/>
      <c r="O40" s="28"/>
      <c r="P40" s="19" t="s">
        <v>39</v>
      </c>
      <c r="Q40" s="30">
        <f t="shared" si="5"/>
        <v>-2</v>
      </c>
      <c r="R40" s="38"/>
    </row>
    <row r="41" spans="1:18" ht="15" customHeight="1" x14ac:dyDescent="0.3">
      <c r="A41" s="50"/>
      <c r="B41" s="51"/>
      <c r="D41" s="119"/>
      <c r="E41" s="115" t="s">
        <v>16</v>
      </c>
      <c r="F41" s="23"/>
      <c r="G41" s="23"/>
      <c r="H41" s="24" t="e">
        <f t="shared" si="6"/>
        <v>#DIV/0!</v>
      </c>
      <c r="I41" s="33"/>
      <c r="J41" s="21">
        <f t="shared" si="1"/>
        <v>0</v>
      </c>
      <c r="K41" s="24" t="e">
        <f t="shared" si="2"/>
        <v>#DIV/0!</v>
      </c>
      <c r="L41" s="70" t="e">
        <f t="shared" si="3"/>
        <v>#DIV/0!</v>
      </c>
      <c r="M41" s="75" t="e">
        <f t="shared" si="4"/>
        <v>#DIV/0!</v>
      </c>
      <c r="N41" s="1"/>
      <c r="O41" s="28"/>
      <c r="P41" s="19" t="s">
        <v>39</v>
      </c>
      <c r="Q41" s="30">
        <f t="shared" si="5"/>
        <v>-2</v>
      </c>
      <c r="R41" s="38"/>
    </row>
    <row r="42" spans="1:18" ht="15" customHeight="1" x14ac:dyDescent="0.3">
      <c r="A42" s="50"/>
      <c r="B42" s="51"/>
      <c r="D42" s="119"/>
      <c r="E42" s="115" t="s">
        <v>16</v>
      </c>
      <c r="F42" s="23"/>
      <c r="G42" s="23"/>
      <c r="H42" s="24" t="e">
        <f t="shared" si="6"/>
        <v>#DIV/0!</v>
      </c>
      <c r="I42" s="33"/>
      <c r="J42" s="21">
        <f t="shared" si="1"/>
        <v>0</v>
      </c>
      <c r="K42" s="24" t="e">
        <f t="shared" si="2"/>
        <v>#DIV/0!</v>
      </c>
      <c r="L42" s="70" t="e">
        <f t="shared" si="3"/>
        <v>#DIV/0!</v>
      </c>
      <c r="M42" s="75" t="e">
        <f t="shared" si="4"/>
        <v>#DIV/0!</v>
      </c>
      <c r="N42" s="1"/>
      <c r="O42" s="28"/>
      <c r="P42" s="19" t="s">
        <v>39</v>
      </c>
      <c r="Q42" s="30">
        <f t="shared" si="5"/>
        <v>-2</v>
      </c>
      <c r="R42" s="38"/>
    </row>
    <row r="43" spans="1:18" ht="15" customHeight="1" x14ac:dyDescent="0.3">
      <c r="A43" s="50"/>
      <c r="B43" s="51"/>
      <c r="D43" s="119"/>
      <c r="E43" s="115" t="s">
        <v>16</v>
      </c>
      <c r="F43" s="23"/>
      <c r="G43" s="23"/>
      <c r="H43" s="24" t="e">
        <f t="shared" si="6"/>
        <v>#DIV/0!</v>
      </c>
      <c r="I43" s="33"/>
      <c r="J43" s="21">
        <f t="shared" si="1"/>
        <v>0</v>
      </c>
      <c r="K43" s="24" t="e">
        <f t="shared" si="2"/>
        <v>#DIV/0!</v>
      </c>
      <c r="L43" s="70" t="e">
        <f t="shared" si="3"/>
        <v>#DIV/0!</v>
      </c>
      <c r="M43" s="75" t="e">
        <f t="shared" si="4"/>
        <v>#DIV/0!</v>
      </c>
      <c r="N43" s="1"/>
      <c r="O43" s="28"/>
      <c r="P43" s="19" t="s">
        <v>39</v>
      </c>
      <c r="Q43" s="30">
        <f t="shared" si="5"/>
        <v>-2</v>
      </c>
      <c r="R43" s="38"/>
    </row>
    <row r="44" spans="1:18" ht="15" customHeight="1" x14ac:dyDescent="0.3">
      <c r="A44" s="50"/>
      <c r="B44" s="51"/>
      <c r="D44" s="119"/>
      <c r="E44" s="115" t="s">
        <v>16</v>
      </c>
      <c r="F44" s="23"/>
      <c r="G44" s="23"/>
      <c r="H44" s="24" t="e">
        <f t="shared" si="6"/>
        <v>#DIV/0!</v>
      </c>
      <c r="I44" s="33"/>
      <c r="J44" s="21">
        <f t="shared" si="1"/>
        <v>0</v>
      </c>
      <c r="K44" s="24" t="e">
        <f t="shared" si="2"/>
        <v>#DIV/0!</v>
      </c>
      <c r="L44" s="70" t="e">
        <f t="shared" si="3"/>
        <v>#DIV/0!</v>
      </c>
      <c r="M44" s="75" t="e">
        <f t="shared" si="4"/>
        <v>#DIV/0!</v>
      </c>
      <c r="N44" s="1"/>
      <c r="O44" s="28"/>
      <c r="P44" s="19" t="s">
        <v>39</v>
      </c>
      <c r="Q44" s="30">
        <f t="shared" si="5"/>
        <v>-2</v>
      </c>
      <c r="R44" s="38"/>
    </row>
    <row r="45" spans="1:18" x14ac:dyDescent="0.3">
      <c r="A45" s="50"/>
      <c r="B45" s="51"/>
      <c r="D45" s="119"/>
      <c r="E45" s="115" t="s">
        <v>16</v>
      </c>
      <c r="F45" s="23"/>
      <c r="G45" s="23"/>
      <c r="H45" s="24" t="e">
        <f t="shared" si="6"/>
        <v>#DIV/0!</v>
      </c>
      <c r="I45" s="33"/>
      <c r="J45" s="21">
        <f t="shared" si="1"/>
        <v>0</v>
      </c>
      <c r="K45" s="24" t="e">
        <f t="shared" si="2"/>
        <v>#DIV/0!</v>
      </c>
      <c r="L45" s="70" t="e">
        <f t="shared" si="3"/>
        <v>#DIV/0!</v>
      </c>
      <c r="M45" s="75" t="e">
        <f t="shared" si="4"/>
        <v>#DIV/0!</v>
      </c>
      <c r="N45" s="1"/>
      <c r="O45" s="28"/>
      <c r="P45" s="19" t="s">
        <v>39</v>
      </c>
      <c r="Q45" s="30">
        <f t="shared" si="5"/>
        <v>-2</v>
      </c>
      <c r="R45" s="38"/>
    </row>
    <row r="46" spans="1:18" x14ac:dyDescent="0.3">
      <c r="A46" s="50"/>
      <c r="B46" s="51"/>
      <c r="D46" s="119"/>
      <c r="E46" s="115" t="s">
        <v>16</v>
      </c>
      <c r="F46" s="23"/>
      <c r="G46" s="23"/>
      <c r="H46" s="24" t="e">
        <f t="shared" si="6"/>
        <v>#DIV/0!</v>
      </c>
      <c r="I46" s="33"/>
      <c r="J46" s="21">
        <f t="shared" si="1"/>
        <v>0</v>
      </c>
      <c r="K46" s="24" t="e">
        <f t="shared" si="2"/>
        <v>#DIV/0!</v>
      </c>
      <c r="L46" s="70" t="e">
        <f t="shared" si="3"/>
        <v>#DIV/0!</v>
      </c>
      <c r="M46" s="75" t="e">
        <f t="shared" si="4"/>
        <v>#DIV/0!</v>
      </c>
      <c r="N46" s="1"/>
      <c r="O46" s="28"/>
      <c r="P46" s="19" t="s">
        <v>39</v>
      </c>
      <c r="Q46" s="30">
        <f t="shared" si="5"/>
        <v>-2</v>
      </c>
      <c r="R46" s="38"/>
    </row>
    <row r="47" spans="1:18" x14ac:dyDescent="0.3">
      <c r="A47" s="50"/>
      <c r="B47" s="51"/>
      <c r="D47" s="119"/>
      <c r="E47" s="115" t="s">
        <v>16</v>
      </c>
      <c r="F47" s="23"/>
      <c r="G47" s="23"/>
      <c r="H47" s="24" t="e">
        <f t="shared" si="6"/>
        <v>#DIV/0!</v>
      </c>
      <c r="I47" s="33"/>
      <c r="J47" s="21">
        <f t="shared" si="1"/>
        <v>0</v>
      </c>
      <c r="K47" s="24" t="e">
        <f t="shared" si="2"/>
        <v>#DIV/0!</v>
      </c>
      <c r="L47" s="70" t="e">
        <f t="shared" si="3"/>
        <v>#DIV/0!</v>
      </c>
      <c r="M47" s="75" t="e">
        <f t="shared" si="4"/>
        <v>#DIV/0!</v>
      </c>
      <c r="N47" s="1"/>
      <c r="O47" s="28"/>
      <c r="P47" s="19" t="s">
        <v>39</v>
      </c>
      <c r="Q47" s="30">
        <f t="shared" si="5"/>
        <v>-2</v>
      </c>
      <c r="R47" s="38"/>
    </row>
    <row r="48" spans="1:18" x14ac:dyDescent="0.3">
      <c r="A48" s="50"/>
      <c r="B48" s="51"/>
      <c r="D48" s="119"/>
      <c r="E48" s="115" t="s">
        <v>16</v>
      </c>
      <c r="F48" s="23"/>
      <c r="G48" s="23"/>
      <c r="H48" s="24" t="e">
        <f t="shared" si="6"/>
        <v>#DIV/0!</v>
      </c>
      <c r="I48" s="33"/>
      <c r="J48" s="21">
        <f t="shared" si="1"/>
        <v>0</v>
      </c>
      <c r="K48" s="24" t="e">
        <f t="shared" si="2"/>
        <v>#DIV/0!</v>
      </c>
      <c r="L48" s="70" t="e">
        <f t="shared" si="3"/>
        <v>#DIV/0!</v>
      </c>
      <c r="M48" s="75" t="e">
        <f t="shared" si="4"/>
        <v>#DIV/0!</v>
      </c>
      <c r="N48" s="1"/>
      <c r="O48" s="28"/>
      <c r="P48" s="19" t="s">
        <v>39</v>
      </c>
      <c r="Q48" s="30">
        <f t="shared" si="5"/>
        <v>-2</v>
      </c>
      <c r="R48" s="38"/>
    </row>
    <row r="49" spans="1:18" x14ac:dyDescent="0.3">
      <c r="A49" s="53"/>
      <c r="B49" s="54"/>
      <c r="D49" s="119"/>
      <c r="E49" s="115" t="s">
        <v>16</v>
      </c>
      <c r="F49" s="23"/>
      <c r="G49" s="23"/>
      <c r="H49" s="24" t="e">
        <f t="shared" si="6"/>
        <v>#DIV/0!</v>
      </c>
      <c r="I49" s="33"/>
      <c r="J49" s="21">
        <f t="shared" si="1"/>
        <v>0</v>
      </c>
      <c r="K49" s="24" t="e">
        <f t="shared" si="2"/>
        <v>#DIV/0!</v>
      </c>
      <c r="L49" s="70" t="e">
        <f t="shared" si="3"/>
        <v>#DIV/0!</v>
      </c>
      <c r="M49" s="75" t="e">
        <f t="shared" si="4"/>
        <v>#DIV/0!</v>
      </c>
      <c r="N49" s="1"/>
      <c r="O49" s="28"/>
      <c r="P49" s="19" t="s">
        <v>39</v>
      </c>
      <c r="Q49" s="30">
        <f t="shared" si="5"/>
        <v>-2</v>
      </c>
      <c r="R49" s="38"/>
    </row>
    <row r="50" spans="1:18" x14ac:dyDescent="0.3">
      <c r="A50" s="50"/>
      <c r="B50" s="51"/>
      <c r="D50" s="119"/>
      <c r="E50" s="115" t="s">
        <v>16</v>
      </c>
      <c r="F50" s="23"/>
      <c r="G50" s="23"/>
      <c r="H50" s="24" t="e">
        <f t="shared" si="6"/>
        <v>#DIV/0!</v>
      </c>
      <c r="I50" s="33"/>
      <c r="J50" s="21">
        <f t="shared" si="1"/>
        <v>0</v>
      </c>
      <c r="K50" s="24" t="e">
        <f t="shared" si="2"/>
        <v>#DIV/0!</v>
      </c>
      <c r="L50" s="70" t="e">
        <f t="shared" si="3"/>
        <v>#DIV/0!</v>
      </c>
      <c r="M50" s="75" t="e">
        <f t="shared" si="4"/>
        <v>#DIV/0!</v>
      </c>
      <c r="N50" s="1"/>
      <c r="O50" s="28"/>
      <c r="P50" s="19" t="s">
        <v>39</v>
      </c>
      <c r="Q50" s="30">
        <f t="shared" si="5"/>
        <v>-2</v>
      </c>
      <c r="R50" s="38"/>
    </row>
    <row r="51" spans="1:18" x14ac:dyDescent="0.3">
      <c r="A51" s="48"/>
      <c r="B51" s="49"/>
      <c r="D51" s="119"/>
      <c r="E51" s="115" t="s">
        <v>16</v>
      </c>
      <c r="F51" s="23"/>
      <c r="G51" s="23"/>
      <c r="H51" s="24" t="e">
        <f t="shared" si="6"/>
        <v>#DIV/0!</v>
      </c>
      <c r="I51" s="33"/>
      <c r="J51" s="21">
        <f t="shared" si="1"/>
        <v>0</v>
      </c>
      <c r="K51" s="24" t="e">
        <f t="shared" si="2"/>
        <v>#DIV/0!</v>
      </c>
      <c r="L51" s="70" t="e">
        <f t="shared" si="3"/>
        <v>#DIV/0!</v>
      </c>
      <c r="M51" s="75" t="e">
        <f t="shared" si="4"/>
        <v>#DIV/0!</v>
      </c>
      <c r="N51" s="1"/>
      <c r="O51" s="28"/>
      <c r="P51" s="19" t="s">
        <v>39</v>
      </c>
      <c r="Q51" s="30">
        <f t="shared" si="5"/>
        <v>-2</v>
      </c>
      <c r="R51" s="38"/>
    </row>
    <row r="52" spans="1:18" x14ac:dyDescent="0.3">
      <c r="A52" s="64"/>
      <c r="B52" s="65"/>
      <c r="D52" s="119"/>
      <c r="E52" s="115" t="s">
        <v>16</v>
      </c>
      <c r="F52" s="23"/>
      <c r="G52" s="23"/>
      <c r="H52" s="24" t="e">
        <f t="shared" si="6"/>
        <v>#DIV/0!</v>
      </c>
      <c r="I52" s="33"/>
      <c r="J52" s="21">
        <f t="shared" si="1"/>
        <v>0</v>
      </c>
      <c r="K52" s="24" t="e">
        <f t="shared" si="2"/>
        <v>#DIV/0!</v>
      </c>
      <c r="L52" s="70" t="e">
        <f t="shared" si="3"/>
        <v>#DIV/0!</v>
      </c>
      <c r="M52" s="75" t="e">
        <f t="shared" si="4"/>
        <v>#DIV/0!</v>
      </c>
      <c r="N52" s="1"/>
      <c r="O52" s="28"/>
      <c r="P52" s="19" t="s">
        <v>39</v>
      </c>
      <c r="Q52" s="30">
        <f t="shared" si="5"/>
        <v>-2</v>
      </c>
      <c r="R52" s="38"/>
    </row>
    <row r="53" spans="1:18" x14ac:dyDescent="0.3">
      <c r="A53" s="64"/>
      <c r="B53" s="65"/>
      <c r="D53" s="119"/>
      <c r="E53" s="115" t="s">
        <v>16</v>
      </c>
      <c r="F53" s="23"/>
      <c r="G53" s="23"/>
      <c r="H53" s="24" t="e">
        <f t="shared" si="6"/>
        <v>#DIV/0!</v>
      </c>
      <c r="I53" s="33"/>
      <c r="J53" s="21">
        <f t="shared" si="1"/>
        <v>0</v>
      </c>
      <c r="K53" s="24" t="e">
        <f t="shared" si="2"/>
        <v>#DIV/0!</v>
      </c>
      <c r="L53" s="70" t="e">
        <f t="shared" si="3"/>
        <v>#DIV/0!</v>
      </c>
      <c r="M53" s="75" t="e">
        <f t="shared" si="4"/>
        <v>#DIV/0!</v>
      </c>
      <c r="N53" s="1"/>
      <c r="O53" s="28"/>
      <c r="P53" s="19" t="s">
        <v>39</v>
      </c>
      <c r="Q53" s="30">
        <f t="shared" si="5"/>
        <v>-2</v>
      </c>
      <c r="R53" s="38"/>
    </row>
    <row r="54" spans="1:18" x14ac:dyDescent="0.3">
      <c r="A54" s="64"/>
      <c r="B54" s="65"/>
      <c r="D54" s="119"/>
      <c r="E54" s="115" t="s">
        <v>16</v>
      </c>
      <c r="F54" s="23"/>
      <c r="G54" s="23"/>
      <c r="H54" s="24" t="e">
        <f t="shared" si="6"/>
        <v>#DIV/0!</v>
      </c>
      <c r="I54" s="33"/>
      <c r="J54" s="21">
        <f t="shared" si="1"/>
        <v>0</v>
      </c>
      <c r="K54" s="24" t="e">
        <f t="shared" si="2"/>
        <v>#DIV/0!</v>
      </c>
      <c r="L54" s="70" t="e">
        <f t="shared" si="3"/>
        <v>#DIV/0!</v>
      </c>
      <c r="M54" s="75" t="e">
        <f t="shared" si="4"/>
        <v>#DIV/0!</v>
      </c>
      <c r="N54" s="1"/>
      <c r="O54" s="28"/>
      <c r="P54" s="19" t="s">
        <v>39</v>
      </c>
      <c r="Q54" s="30">
        <f t="shared" si="5"/>
        <v>-2</v>
      </c>
      <c r="R54" s="38"/>
    </row>
    <row r="55" spans="1:18" x14ac:dyDescent="0.3">
      <c r="A55" s="64"/>
      <c r="B55" s="65"/>
      <c r="D55" s="119"/>
      <c r="E55" s="115" t="s">
        <v>16</v>
      </c>
      <c r="F55" s="23"/>
      <c r="G55" s="23"/>
      <c r="H55" s="24" t="e">
        <f t="shared" si="6"/>
        <v>#DIV/0!</v>
      </c>
      <c r="I55" s="33"/>
      <c r="J55" s="21">
        <f t="shared" si="1"/>
        <v>0</v>
      </c>
      <c r="K55" s="24" t="e">
        <f t="shared" si="2"/>
        <v>#DIV/0!</v>
      </c>
      <c r="L55" s="70" t="e">
        <f t="shared" si="3"/>
        <v>#DIV/0!</v>
      </c>
      <c r="M55" s="75" t="e">
        <f t="shared" si="4"/>
        <v>#DIV/0!</v>
      </c>
      <c r="N55" s="1"/>
      <c r="O55" s="28"/>
      <c r="P55" s="19" t="s">
        <v>39</v>
      </c>
      <c r="Q55" s="30">
        <f t="shared" si="5"/>
        <v>-2</v>
      </c>
      <c r="R55" s="38"/>
    </row>
    <row r="56" spans="1:18" x14ac:dyDescent="0.3">
      <c r="A56" s="64"/>
      <c r="B56" s="65"/>
      <c r="D56" s="119"/>
      <c r="E56" s="115" t="s">
        <v>16</v>
      </c>
      <c r="F56" s="23"/>
      <c r="G56" s="23"/>
      <c r="H56" s="24" t="e">
        <f t="shared" si="6"/>
        <v>#DIV/0!</v>
      </c>
      <c r="I56" s="33"/>
      <c r="J56" s="21">
        <f t="shared" si="1"/>
        <v>0</v>
      </c>
      <c r="K56" s="24" t="e">
        <f t="shared" si="2"/>
        <v>#DIV/0!</v>
      </c>
      <c r="L56" s="70" t="e">
        <f t="shared" si="3"/>
        <v>#DIV/0!</v>
      </c>
      <c r="M56" s="75" t="e">
        <f t="shared" si="4"/>
        <v>#DIV/0!</v>
      </c>
      <c r="N56" s="1"/>
      <c r="O56" s="28"/>
      <c r="P56" s="19" t="s">
        <v>39</v>
      </c>
      <c r="Q56" s="30">
        <f t="shared" si="5"/>
        <v>-2</v>
      </c>
      <c r="R56" s="38"/>
    </row>
    <row r="57" spans="1:18" x14ac:dyDescent="0.3">
      <c r="A57" s="64"/>
      <c r="B57" s="65"/>
      <c r="D57" s="119"/>
      <c r="E57" s="115" t="s">
        <v>16</v>
      </c>
      <c r="F57" s="23"/>
      <c r="G57" s="23"/>
      <c r="H57" s="24" t="e">
        <f t="shared" si="6"/>
        <v>#DIV/0!</v>
      </c>
      <c r="I57" s="33"/>
      <c r="J57" s="21">
        <f t="shared" si="1"/>
        <v>0</v>
      </c>
      <c r="K57" s="24" t="e">
        <f t="shared" si="2"/>
        <v>#DIV/0!</v>
      </c>
      <c r="L57" s="70" t="e">
        <f t="shared" si="3"/>
        <v>#DIV/0!</v>
      </c>
      <c r="M57" s="75" t="e">
        <f t="shared" si="4"/>
        <v>#DIV/0!</v>
      </c>
      <c r="N57" s="1"/>
      <c r="O57" s="28"/>
      <c r="P57" s="19" t="s">
        <v>39</v>
      </c>
      <c r="Q57" s="30">
        <f t="shared" si="5"/>
        <v>-2</v>
      </c>
      <c r="R57" s="38"/>
    </row>
    <row r="58" spans="1:18" x14ac:dyDescent="0.3">
      <c r="A58" s="64"/>
      <c r="B58" s="65"/>
      <c r="D58" s="119"/>
      <c r="E58" s="115" t="s">
        <v>16</v>
      </c>
      <c r="F58" s="23"/>
      <c r="G58" s="23"/>
      <c r="H58" s="24" t="e">
        <f t="shared" si="6"/>
        <v>#DIV/0!</v>
      </c>
      <c r="I58" s="33"/>
      <c r="J58" s="21">
        <f t="shared" si="1"/>
        <v>0</v>
      </c>
      <c r="K58" s="24" t="e">
        <f t="shared" si="2"/>
        <v>#DIV/0!</v>
      </c>
      <c r="L58" s="70" t="e">
        <f t="shared" si="3"/>
        <v>#DIV/0!</v>
      </c>
      <c r="M58" s="75" t="e">
        <f t="shared" si="4"/>
        <v>#DIV/0!</v>
      </c>
      <c r="N58" s="1"/>
      <c r="O58" s="28"/>
      <c r="P58" s="19" t="s">
        <v>39</v>
      </c>
      <c r="Q58" s="30">
        <f t="shared" si="5"/>
        <v>-2</v>
      </c>
      <c r="R58" s="38"/>
    </row>
    <row r="59" spans="1:18" x14ac:dyDescent="0.3">
      <c r="A59" s="64"/>
      <c r="B59" s="65"/>
      <c r="D59" s="119"/>
      <c r="E59" s="115" t="s">
        <v>16</v>
      </c>
      <c r="F59" s="23"/>
      <c r="G59" s="23"/>
      <c r="H59" s="24" t="e">
        <f t="shared" si="6"/>
        <v>#DIV/0!</v>
      </c>
      <c r="I59" s="33"/>
      <c r="J59" s="21">
        <f t="shared" si="1"/>
        <v>0</v>
      </c>
      <c r="K59" s="24" t="e">
        <f t="shared" si="2"/>
        <v>#DIV/0!</v>
      </c>
      <c r="L59" s="70" t="e">
        <f t="shared" si="3"/>
        <v>#DIV/0!</v>
      </c>
      <c r="M59" s="75" t="e">
        <f t="shared" si="4"/>
        <v>#DIV/0!</v>
      </c>
      <c r="N59" s="1"/>
      <c r="O59" s="28"/>
      <c r="P59" s="19" t="s">
        <v>39</v>
      </c>
      <c r="Q59" s="30">
        <f t="shared" si="5"/>
        <v>-2</v>
      </c>
      <c r="R59" s="38"/>
    </row>
    <row r="60" spans="1:18" x14ac:dyDescent="0.3">
      <c r="A60" s="64"/>
      <c r="B60" s="65"/>
      <c r="D60" s="119"/>
      <c r="E60" s="115" t="s">
        <v>16</v>
      </c>
      <c r="F60" s="23"/>
      <c r="G60" s="23"/>
      <c r="H60" s="24" t="e">
        <f t="shared" si="6"/>
        <v>#DIV/0!</v>
      </c>
      <c r="I60" s="33"/>
      <c r="J60" s="21">
        <f t="shared" si="1"/>
        <v>0</v>
      </c>
      <c r="K60" s="24" t="e">
        <f t="shared" si="2"/>
        <v>#DIV/0!</v>
      </c>
      <c r="L60" s="70" t="e">
        <f t="shared" si="3"/>
        <v>#DIV/0!</v>
      </c>
      <c r="M60" s="75" t="e">
        <f t="shared" si="4"/>
        <v>#DIV/0!</v>
      </c>
      <c r="N60" s="1"/>
      <c r="O60" s="28"/>
      <c r="P60" s="19" t="s">
        <v>39</v>
      </c>
      <c r="Q60" s="30">
        <f t="shared" si="5"/>
        <v>-2</v>
      </c>
      <c r="R60" s="38"/>
    </row>
    <row r="61" spans="1:18" x14ac:dyDescent="0.3">
      <c r="A61" s="64"/>
      <c r="B61" s="65"/>
      <c r="D61" s="119"/>
      <c r="E61" s="115" t="s">
        <v>16</v>
      </c>
      <c r="F61" s="23"/>
      <c r="G61" s="23"/>
      <c r="H61" s="24" t="e">
        <f t="shared" si="6"/>
        <v>#DIV/0!</v>
      </c>
      <c r="I61" s="33"/>
      <c r="J61" s="21">
        <f t="shared" si="1"/>
        <v>0</v>
      </c>
      <c r="K61" s="24" t="e">
        <f t="shared" si="2"/>
        <v>#DIV/0!</v>
      </c>
      <c r="L61" s="70" t="e">
        <f t="shared" si="3"/>
        <v>#DIV/0!</v>
      </c>
      <c r="M61" s="75" t="e">
        <f t="shared" si="4"/>
        <v>#DIV/0!</v>
      </c>
      <c r="N61" s="1"/>
      <c r="O61" s="28"/>
      <c r="P61" s="19" t="s">
        <v>39</v>
      </c>
      <c r="Q61" s="30">
        <f t="shared" si="5"/>
        <v>-2</v>
      </c>
      <c r="R61" s="38"/>
    </row>
    <row r="62" spans="1:18" x14ac:dyDescent="0.3">
      <c r="A62" s="64"/>
      <c r="B62" s="65"/>
      <c r="D62" s="119"/>
      <c r="E62" s="115" t="s">
        <v>16</v>
      </c>
      <c r="F62" s="23"/>
      <c r="G62" s="23"/>
      <c r="H62" s="24" t="e">
        <f t="shared" si="6"/>
        <v>#DIV/0!</v>
      </c>
      <c r="I62" s="33"/>
      <c r="J62" s="21">
        <f t="shared" si="1"/>
        <v>0</v>
      </c>
      <c r="K62" s="24" t="e">
        <f t="shared" si="2"/>
        <v>#DIV/0!</v>
      </c>
      <c r="L62" s="70" t="e">
        <f t="shared" si="3"/>
        <v>#DIV/0!</v>
      </c>
      <c r="M62" s="75" t="e">
        <f t="shared" si="4"/>
        <v>#DIV/0!</v>
      </c>
      <c r="N62" s="1"/>
      <c r="O62" s="28"/>
      <c r="P62" s="19" t="s">
        <v>39</v>
      </c>
      <c r="Q62" s="30">
        <f t="shared" si="5"/>
        <v>-2</v>
      </c>
      <c r="R62" s="38"/>
    </row>
    <row r="63" spans="1:18" x14ac:dyDescent="0.3">
      <c r="A63" s="64"/>
      <c r="B63" s="65"/>
      <c r="D63" s="119"/>
      <c r="E63" s="115" t="s">
        <v>16</v>
      </c>
      <c r="F63" s="23"/>
      <c r="G63" s="23"/>
      <c r="H63" s="24" t="e">
        <f t="shared" si="6"/>
        <v>#DIV/0!</v>
      </c>
      <c r="I63" s="33"/>
      <c r="J63" s="21">
        <f t="shared" si="1"/>
        <v>0</v>
      </c>
      <c r="K63" s="24" t="e">
        <f t="shared" si="2"/>
        <v>#DIV/0!</v>
      </c>
      <c r="L63" s="70" t="e">
        <f t="shared" si="3"/>
        <v>#DIV/0!</v>
      </c>
      <c r="M63" s="75" t="e">
        <f t="shared" si="4"/>
        <v>#DIV/0!</v>
      </c>
      <c r="N63" s="1"/>
      <c r="O63" s="28"/>
      <c r="P63" s="19" t="s">
        <v>39</v>
      </c>
      <c r="Q63" s="30">
        <f t="shared" si="5"/>
        <v>-2</v>
      </c>
      <c r="R63" s="38"/>
    </row>
    <row r="64" spans="1:18" x14ac:dyDescent="0.3">
      <c r="A64" s="64"/>
      <c r="B64" s="65"/>
      <c r="D64" s="119"/>
      <c r="E64" s="115" t="s">
        <v>16</v>
      </c>
      <c r="F64" s="23"/>
      <c r="G64" s="23"/>
      <c r="H64" s="24" t="e">
        <f t="shared" si="6"/>
        <v>#DIV/0!</v>
      </c>
      <c r="I64" s="33"/>
      <c r="J64" s="21">
        <f t="shared" si="1"/>
        <v>0</v>
      </c>
      <c r="K64" s="24" t="e">
        <f t="shared" si="2"/>
        <v>#DIV/0!</v>
      </c>
      <c r="L64" s="70" t="e">
        <f t="shared" si="3"/>
        <v>#DIV/0!</v>
      </c>
      <c r="M64" s="75" t="e">
        <f t="shared" si="4"/>
        <v>#DIV/0!</v>
      </c>
      <c r="N64" s="1"/>
      <c r="O64" s="28"/>
      <c r="P64" s="19" t="s">
        <v>39</v>
      </c>
      <c r="Q64" s="30">
        <f t="shared" si="5"/>
        <v>-2</v>
      </c>
      <c r="R64" s="38"/>
    </row>
    <row r="65" spans="1:18" x14ac:dyDescent="0.3">
      <c r="A65" s="64"/>
      <c r="B65" s="65"/>
      <c r="D65" s="119"/>
      <c r="E65" s="115" t="s">
        <v>16</v>
      </c>
      <c r="F65" s="23"/>
      <c r="G65" s="23"/>
      <c r="H65" s="24" t="e">
        <f t="shared" si="6"/>
        <v>#DIV/0!</v>
      </c>
      <c r="I65" s="33"/>
      <c r="J65" s="21">
        <f t="shared" si="1"/>
        <v>0</v>
      </c>
      <c r="K65" s="24" t="e">
        <f t="shared" si="2"/>
        <v>#DIV/0!</v>
      </c>
      <c r="L65" s="70" t="e">
        <f t="shared" si="3"/>
        <v>#DIV/0!</v>
      </c>
      <c r="M65" s="75" t="e">
        <f t="shared" si="4"/>
        <v>#DIV/0!</v>
      </c>
      <c r="N65" s="1"/>
      <c r="O65" s="28"/>
      <c r="P65" s="19" t="s">
        <v>39</v>
      </c>
      <c r="Q65" s="30">
        <f t="shared" si="5"/>
        <v>-2</v>
      </c>
      <c r="R65" s="38"/>
    </row>
    <row r="66" spans="1:18" x14ac:dyDescent="0.3">
      <c r="A66" s="64"/>
      <c r="B66" s="65"/>
      <c r="D66" s="119"/>
      <c r="E66" s="115" t="s">
        <v>16</v>
      </c>
      <c r="F66" s="23"/>
      <c r="G66" s="23"/>
      <c r="H66" s="24" t="e">
        <f t="shared" si="6"/>
        <v>#DIV/0!</v>
      </c>
      <c r="I66" s="33"/>
      <c r="J66" s="21">
        <f t="shared" si="1"/>
        <v>0</v>
      </c>
      <c r="K66" s="24" t="e">
        <f t="shared" si="2"/>
        <v>#DIV/0!</v>
      </c>
      <c r="L66" s="70" t="e">
        <f t="shared" si="3"/>
        <v>#DIV/0!</v>
      </c>
      <c r="M66" s="75" t="e">
        <f t="shared" si="4"/>
        <v>#DIV/0!</v>
      </c>
      <c r="N66" s="1"/>
      <c r="O66" s="28"/>
      <c r="P66" s="19" t="s">
        <v>39</v>
      </c>
      <c r="Q66" s="30">
        <f t="shared" si="5"/>
        <v>-2</v>
      </c>
      <c r="R66" s="38"/>
    </row>
    <row r="67" spans="1:18" x14ac:dyDescent="0.3">
      <c r="A67" s="64"/>
      <c r="B67" s="65"/>
      <c r="D67" s="119"/>
      <c r="E67" s="115" t="s">
        <v>16</v>
      </c>
      <c r="F67" s="23"/>
      <c r="G67" s="23"/>
      <c r="H67" s="24" t="e">
        <f t="shared" si="6"/>
        <v>#DIV/0!</v>
      </c>
      <c r="I67" s="33"/>
      <c r="J67" s="21">
        <f t="shared" ref="J67:J71" si="7">F67*I67+IF(N67="Фрибет",(F67*I67-F67)-F67*I67)</f>
        <v>0</v>
      </c>
      <c r="K67" s="24" t="e">
        <f t="shared" ref="K67:K71" si="8">((J67*100)/G67)</f>
        <v>#DIV/0!</v>
      </c>
      <c r="L67" s="70" t="e">
        <f t="shared" ref="L67:L71" si="9">1-M67</f>
        <v>#DIV/0!</v>
      </c>
      <c r="M67" s="75" t="e">
        <f t="shared" ref="M67:M71" si="10">1/I67</f>
        <v>#DIV/0!</v>
      </c>
      <c r="N67" s="1"/>
      <c r="O67" s="28"/>
      <c r="P67" s="19" t="s">
        <v>39</v>
      </c>
      <c r="Q67" s="30">
        <f t="shared" si="5"/>
        <v>-2</v>
      </c>
      <c r="R67" s="38"/>
    </row>
    <row r="68" spans="1:18" x14ac:dyDescent="0.3">
      <c r="A68" s="64"/>
      <c r="B68" s="65"/>
      <c r="D68" s="119"/>
      <c r="E68" s="115" t="s">
        <v>16</v>
      </c>
      <c r="F68" s="23"/>
      <c r="G68" s="23"/>
      <c r="H68" s="24" t="e">
        <f t="shared" si="6"/>
        <v>#DIV/0!</v>
      </c>
      <c r="I68" s="33"/>
      <c r="J68" s="21">
        <f t="shared" si="7"/>
        <v>0</v>
      </c>
      <c r="K68" s="24" t="e">
        <f t="shared" si="8"/>
        <v>#DIV/0!</v>
      </c>
      <c r="L68" s="70" t="e">
        <f t="shared" si="9"/>
        <v>#DIV/0!</v>
      </c>
      <c r="M68" s="75" t="e">
        <f t="shared" si="10"/>
        <v>#DIV/0!</v>
      </c>
      <c r="N68" s="1"/>
      <c r="O68" s="28"/>
      <c r="P68" s="19" t="s">
        <v>39</v>
      </c>
      <c r="Q68" s="30">
        <f t="shared" ref="Q68:Q71" si="11">IF(P68="Победа",1)+IF(P68="Поражение",0)+IF(P68="Не ставил",-2)</f>
        <v>-2</v>
      </c>
      <c r="R68" s="38"/>
    </row>
    <row r="69" spans="1:18" x14ac:dyDescent="0.3">
      <c r="A69" s="64"/>
      <c r="B69" s="65"/>
      <c r="D69" s="119"/>
      <c r="E69" s="115" t="s">
        <v>16</v>
      </c>
      <c r="F69" s="23"/>
      <c r="G69" s="23"/>
      <c r="H69" s="24" t="e">
        <f t="shared" si="6"/>
        <v>#DIV/0!</v>
      </c>
      <c r="I69" s="33"/>
      <c r="J69" s="21">
        <f t="shared" si="7"/>
        <v>0</v>
      </c>
      <c r="K69" s="24" t="e">
        <f t="shared" si="8"/>
        <v>#DIV/0!</v>
      </c>
      <c r="L69" s="70" t="e">
        <f t="shared" si="9"/>
        <v>#DIV/0!</v>
      </c>
      <c r="M69" s="75" t="e">
        <f t="shared" si="10"/>
        <v>#DIV/0!</v>
      </c>
      <c r="N69" s="1"/>
      <c r="O69" s="28"/>
      <c r="P69" s="19" t="s">
        <v>39</v>
      </c>
      <c r="Q69" s="30">
        <f t="shared" si="11"/>
        <v>-2</v>
      </c>
      <c r="R69" s="38"/>
    </row>
    <row r="70" spans="1:18" x14ac:dyDescent="0.3">
      <c r="A70" s="64"/>
      <c r="B70" s="65"/>
      <c r="D70" s="119"/>
      <c r="E70" s="115" t="s">
        <v>16</v>
      </c>
      <c r="F70" s="23"/>
      <c r="G70" s="23"/>
      <c r="H70" s="24" t="e">
        <f t="shared" si="6"/>
        <v>#DIV/0!</v>
      </c>
      <c r="I70" s="33"/>
      <c r="J70" s="21">
        <f t="shared" si="7"/>
        <v>0</v>
      </c>
      <c r="K70" s="24" t="e">
        <f t="shared" si="8"/>
        <v>#DIV/0!</v>
      </c>
      <c r="L70" s="70" t="e">
        <f t="shared" si="9"/>
        <v>#DIV/0!</v>
      </c>
      <c r="M70" s="75" t="e">
        <f t="shared" si="10"/>
        <v>#DIV/0!</v>
      </c>
      <c r="N70" s="1"/>
      <c r="O70" s="28"/>
      <c r="P70" s="19" t="s">
        <v>39</v>
      </c>
      <c r="Q70" s="30">
        <f t="shared" si="11"/>
        <v>-2</v>
      </c>
      <c r="R70" s="38"/>
    </row>
    <row r="71" spans="1:18" ht="15" thickBot="1" x14ac:dyDescent="0.35">
      <c r="A71" s="56"/>
      <c r="B71" s="66"/>
      <c r="D71" s="119"/>
      <c r="E71" s="115" t="s">
        <v>16</v>
      </c>
      <c r="F71" s="23"/>
      <c r="G71" s="23"/>
      <c r="H71" s="24" t="e">
        <f t="shared" si="6"/>
        <v>#DIV/0!</v>
      </c>
      <c r="I71" s="33"/>
      <c r="J71" s="21">
        <f t="shared" si="7"/>
        <v>0</v>
      </c>
      <c r="K71" s="24" t="e">
        <f t="shared" si="8"/>
        <v>#DIV/0!</v>
      </c>
      <c r="L71" s="70" t="e">
        <f t="shared" si="9"/>
        <v>#DIV/0!</v>
      </c>
      <c r="M71" s="75" t="e">
        <f t="shared" si="10"/>
        <v>#DIV/0!</v>
      </c>
      <c r="N71" s="1"/>
      <c r="O71" s="28"/>
      <c r="P71" s="19" t="s">
        <v>39</v>
      </c>
      <c r="Q71" s="30">
        <f t="shared" si="11"/>
        <v>-2</v>
      </c>
      <c r="R71" s="38"/>
    </row>
    <row r="72" spans="1:18" x14ac:dyDescent="0.3">
      <c r="E72"/>
      <c r="F72"/>
      <c r="G72"/>
      <c r="H72"/>
      <c r="I72"/>
      <c r="J72"/>
      <c r="K72"/>
      <c r="L72" s="73"/>
      <c r="M72" s="78"/>
      <c r="O72"/>
      <c r="P72"/>
      <c r="Q72"/>
      <c r="R72"/>
    </row>
    <row r="73" spans="1:18" x14ac:dyDescent="0.3">
      <c r="E73"/>
      <c r="F73"/>
      <c r="G73"/>
      <c r="H73"/>
      <c r="I73"/>
      <c r="J73"/>
      <c r="K73"/>
      <c r="L73" s="73"/>
      <c r="M73" s="78"/>
      <c r="O73"/>
      <c r="P73"/>
      <c r="Q73"/>
      <c r="R73"/>
    </row>
    <row r="74" spans="1:18" x14ac:dyDescent="0.3">
      <c r="E74"/>
      <c r="F74"/>
      <c r="G74"/>
      <c r="H74"/>
      <c r="I74"/>
      <c r="J74"/>
      <c r="K74"/>
      <c r="L74" s="73"/>
      <c r="M74" s="78"/>
      <c r="O74"/>
      <c r="P74"/>
      <c r="Q74"/>
      <c r="R74"/>
    </row>
    <row r="75" spans="1:18" x14ac:dyDescent="0.3">
      <c r="E75"/>
      <c r="F75"/>
      <c r="G75"/>
      <c r="H75"/>
      <c r="I75"/>
      <c r="J75"/>
      <c r="K75"/>
      <c r="L75" s="73"/>
      <c r="M75" s="78"/>
      <c r="O75"/>
      <c r="P75"/>
      <c r="Q75"/>
      <c r="R75"/>
    </row>
    <row r="76" spans="1:18" x14ac:dyDescent="0.3">
      <c r="E76"/>
      <c r="F76"/>
      <c r="G76"/>
      <c r="H76"/>
      <c r="I76"/>
      <c r="J76"/>
      <c r="K76"/>
      <c r="L76" s="73"/>
      <c r="M76" s="78"/>
      <c r="O76"/>
      <c r="P76"/>
      <c r="Q76"/>
      <c r="R76"/>
    </row>
    <row r="77" spans="1:18" x14ac:dyDescent="0.3">
      <c r="E77"/>
      <c r="F77"/>
      <c r="G77"/>
      <c r="H77"/>
      <c r="I77"/>
      <c r="J77"/>
      <c r="K77"/>
      <c r="L77" s="73"/>
      <c r="M77" s="78"/>
      <c r="O77"/>
      <c r="P77"/>
      <c r="Q77"/>
      <c r="R77"/>
    </row>
    <row r="78" spans="1:18" x14ac:dyDescent="0.3">
      <c r="E78"/>
      <c r="F78"/>
      <c r="G78"/>
      <c r="H78"/>
      <c r="I78"/>
      <c r="J78"/>
      <c r="K78"/>
      <c r="L78" s="73"/>
      <c r="M78" s="78"/>
      <c r="O78"/>
      <c r="P78"/>
      <c r="Q78"/>
      <c r="R78"/>
    </row>
    <row r="79" spans="1:18" x14ac:dyDescent="0.3">
      <c r="E79"/>
      <c r="F79"/>
      <c r="G79"/>
      <c r="H79"/>
      <c r="I79"/>
      <c r="J79"/>
      <c r="K79"/>
      <c r="L79" s="73"/>
      <c r="M79" s="78"/>
      <c r="O79"/>
      <c r="P79"/>
      <c r="Q79"/>
      <c r="R79"/>
    </row>
    <row r="80" spans="1:18" x14ac:dyDescent="0.3">
      <c r="E80"/>
      <c r="F80"/>
      <c r="G80"/>
      <c r="H80"/>
      <c r="I80"/>
      <c r="J80"/>
      <c r="K80"/>
      <c r="L80" s="73"/>
      <c r="M80" s="78"/>
      <c r="O80"/>
      <c r="P80"/>
      <c r="Q80"/>
      <c r="R80"/>
    </row>
    <row r="81" spans="12:13" customFormat="1" x14ac:dyDescent="0.3">
      <c r="L81" s="73"/>
      <c r="M81" s="78"/>
    </row>
    <row r="82" spans="12:13" customFormat="1" x14ac:dyDescent="0.3">
      <c r="L82" s="73"/>
      <c r="M82" s="78"/>
    </row>
    <row r="83" spans="12:13" customFormat="1" x14ac:dyDescent="0.3">
      <c r="L83" s="73"/>
      <c r="M83" s="78"/>
    </row>
    <row r="84" spans="12:13" customFormat="1" x14ac:dyDescent="0.3">
      <c r="L84" s="73"/>
      <c r="M84" s="78"/>
    </row>
    <row r="85" spans="12:13" customFormat="1" x14ac:dyDescent="0.3">
      <c r="L85" s="73"/>
      <c r="M85" s="78"/>
    </row>
    <row r="86" spans="12:13" customFormat="1" x14ac:dyDescent="0.3">
      <c r="L86" s="73"/>
      <c r="M86" s="78"/>
    </row>
    <row r="87" spans="12:13" customFormat="1" x14ac:dyDescent="0.3">
      <c r="L87" s="73"/>
      <c r="M87" s="78"/>
    </row>
    <row r="88" spans="12:13" customFormat="1" x14ac:dyDescent="0.3">
      <c r="L88" s="73"/>
      <c r="M88" s="78"/>
    </row>
    <row r="89" spans="12:13" customFormat="1" x14ac:dyDescent="0.3">
      <c r="L89" s="73"/>
      <c r="M89" s="78"/>
    </row>
    <row r="90" spans="12:13" customFormat="1" x14ac:dyDescent="0.3">
      <c r="L90" s="73"/>
      <c r="M90" s="78"/>
    </row>
    <row r="91" spans="12:13" customFormat="1" x14ac:dyDescent="0.3">
      <c r="L91" s="73"/>
      <c r="M91" s="78"/>
    </row>
    <row r="92" spans="12:13" customFormat="1" x14ac:dyDescent="0.3">
      <c r="L92" s="73"/>
      <c r="M92" s="78"/>
    </row>
    <row r="93" spans="12:13" customFormat="1" x14ac:dyDescent="0.3">
      <c r="L93" s="73"/>
      <c r="M93" s="78"/>
    </row>
    <row r="94" spans="12:13" customFormat="1" x14ac:dyDescent="0.3">
      <c r="L94" s="73"/>
      <c r="M94" s="78"/>
    </row>
    <row r="95" spans="12:13" customFormat="1" x14ac:dyDescent="0.3">
      <c r="L95" s="73"/>
      <c r="M95" s="78"/>
    </row>
    <row r="96" spans="12:13" customFormat="1" x14ac:dyDescent="0.3">
      <c r="L96" s="73"/>
      <c r="M96" s="78"/>
    </row>
    <row r="97" spans="12:13" customFormat="1" x14ac:dyDescent="0.3">
      <c r="L97" s="73"/>
      <c r="M97" s="78"/>
    </row>
    <row r="98" spans="12:13" customFormat="1" x14ac:dyDescent="0.3">
      <c r="L98" s="73"/>
      <c r="M98" s="78"/>
    </row>
    <row r="99" spans="12:13" customFormat="1" x14ac:dyDescent="0.3">
      <c r="L99" s="73"/>
      <c r="M99" s="78"/>
    </row>
    <row r="100" spans="12:13" customFormat="1" x14ac:dyDescent="0.3">
      <c r="L100" s="73"/>
      <c r="M100" s="78"/>
    </row>
    <row r="101" spans="12:13" customFormat="1" x14ac:dyDescent="0.3">
      <c r="L101" s="73"/>
      <c r="M101" s="78"/>
    </row>
    <row r="102" spans="12:13" customFormat="1" x14ac:dyDescent="0.3">
      <c r="L102" s="73"/>
      <c r="M102" s="78"/>
    </row>
    <row r="103" spans="12:13" customFormat="1" x14ac:dyDescent="0.3">
      <c r="L103" s="73"/>
      <c r="M103" s="78"/>
    </row>
    <row r="104" spans="12:13" customFormat="1" x14ac:dyDescent="0.3">
      <c r="L104" s="73"/>
      <c r="M104" s="78"/>
    </row>
    <row r="105" spans="12:13" customFormat="1" x14ac:dyDescent="0.3">
      <c r="L105" s="73"/>
      <c r="M105" s="78"/>
    </row>
    <row r="106" spans="12:13" customFormat="1" x14ac:dyDescent="0.3">
      <c r="L106" s="73"/>
      <c r="M106" s="78"/>
    </row>
    <row r="107" spans="12:13" customFormat="1" x14ac:dyDescent="0.3">
      <c r="L107" s="73"/>
      <c r="M107" s="78"/>
    </row>
    <row r="108" spans="12:13" customFormat="1" x14ac:dyDescent="0.3">
      <c r="L108" s="73"/>
      <c r="M108" s="78"/>
    </row>
    <row r="109" spans="12:13" customFormat="1" x14ac:dyDescent="0.3">
      <c r="L109" s="73"/>
      <c r="M109" s="78"/>
    </row>
    <row r="110" spans="12:13" customFormat="1" x14ac:dyDescent="0.3">
      <c r="L110" s="73"/>
      <c r="M110" s="78"/>
    </row>
    <row r="111" spans="12:13" customFormat="1" x14ac:dyDescent="0.3">
      <c r="L111" s="73"/>
      <c r="M111" s="78"/>
    </row>
    <row r="112" spans="12:13" customFormat="1" x14ac:dyDescent="0.3">
      <c r="L112" s="73"/>
      <c r="M112" s="78"/>
    </row>
    <row r="113" spans="12:13" customFormat="1" x14ac:dyDescent="0.3">
      <c r="L113" s="73"/>
      <c r="M113" s="78"/>
    </row>
    <row r="114" spans="12:13" customFormat="1" x14ac:dyDescent="0.3">
      <c r="L114" s="73"/>
      <c r="M114" s="78"/>
    </row>
    <row r="115" spans="12:13" customFormat="1" x14ac:dyDescent="0.3">
      <c r="L115" s="73"/>
      <c r="M115" s="78"/>
    </row>
    <row r="116" spans="12:13" customFormat="1" x14ac:dyDescent="0.3">
      <c r="L116" s="73"/>
      <c r="M116" s="78"/>
    </row>
    <row r="117" spans="12:13" customFormat="1" x14ac:dyDescent="0.3">
      <c r="L117" s="73"/>
      <c r="M117" s="78"/>
    </row>
    <row r="118" spans="12:13" customFormat="1" x14ac:dyDescent="0.3">
      <c r="L118" s="73"/>
      <c r="M118" s="78"/>
    </row>
    <row r="119" spans="12:13" customFormat="1" x14ac:dyDescent="0.3">
      <c r="L119" s="73"/>
      <c r="M119" s="78"/>
    </row>
    <row r="120" spans="12:13" customFormat="1" x14ac:dyDescent="0.3">
      <c r="L120" s="73"/>
      <c r="M120" s="78"/>
    </row>
    <row r="121" spans="12:13" customFormat="1" x14ac:dyDescent="0.3">
      <c r="L121" s="73"/>
      <c r="M121" s="78"/>
    </row>
    <row r="122" spans="12:13" customFormat="1" x14ac:dyDescent="0.3">
      <c r="L122" s="73"/>
      <c r="M122" s="78"/>
    </row>
    <row r="123" spans="12:13" customFormat="1" x14ac:dyDescent="0.3">
      <c r="L123" s="73"/>
      <c r="M123" s="78"/>
    </row>
    <row r="124" spans="12:13" customFormat="1" x14ac:dyDescent="0.3">
      <c r="L124" s="73"/>
      <c r="M124" s="78"/>
    </row>
    <row r="125" spans="12:13" customFormat="1" x14ac:dyDescent="0.3">
      <c r="L125" s="73"/>
      <c r="M125" s="78"/>
    </row>
    <row r="126" spans="12:13" customFormat="1" x14ac:dyDescent="0.3">
      <c r="L126" s="73"/>
      <c r="M126" s="78"/>
    </row>
    <row r="127" spans="12:13" customFormat="1" x14ac:dyDescent="0.3">
      <c r="L127" s="73"/>
      <c r="M127" s="78"/>
    </row>
    <row r="128" spans="12:13" customFormat="1" x14ac:dyDescent="0.3">
      <c r="L128" s="73"/>
      <c r="M128" s="78"/>
    </row>
    <row r="129" spans="12:13" customFormat="1" x14ac:dyDescent="0.3">
      <c r="L129" s="73"/>
      <c r="M129" s="78"/>
    </row>
    <row r="130" spans="12:13" customFormat="1" x14ac:dyDescent="0.3">
      <c r="L130" s="73"/>
      <c r="M130" s="78"/>
    </row>
    <row r="131" spans="12:13" customFormat="1" x14ac:dyDescent="0.3">
      <c r="L131" s="73"/>
      <c r="M131" s="78"/>
    </row>
    <row r="132" spans="12:13" customFormat="1" x14ac:dyDescent="0.3">
      <c r="L132" s="73"/>
      <c r="M132" s="78"/>
    </row>
    <row r="133" spans="12:13" customFormat="1" x14ac:dyDescent="0.3">
      <c r="L133" s="73"/>
      <c r="M133" s="78"/>
    </row>
    <row r="134" spans="12:13" customFormat="1" x14ac:dyDescent="0.3">
      <c r="L134" s="73"/>
      <c r="M134" s="78"/>
    </row>
    <row r="135" spans="12:13" customFormat="1" x14ac:dyDescent="0.3">
      <c r="L135" s="73"/>
      <c r="M135" s="78"/>
    </row>
    <row r="136" spans="12:13" customFormat="1" x14ac:dyDescent="0.3">
      <c r="L136" s="73"/>
      <c r="M136" s="78"/>
    </row>
    <row r="137" spans="12:13" customFormat="1" x14ac:dyDescent="0.3">
      <c r="L137" s="73"/>
      <c r="M137" s="78"/>
    </row>
    <row r="138" spans="12:13" customFormat="1" x14ac:dyDescent="0.3">
      <c r="L138" s="73"/>
      <c r="M138" s="78"/>
    </row>
    <row r="139" spans="12:13" customFormat="1" x14ac:dyDescent="0.3">
      <c r="L139" s="73"/>
      <c r="M139" s="78"/>
    </row>
    <row r="140" spans="12:13" customFormat="1" x14ac:dyDescent="0.3">
      <c r="L140" s="73"/>
      <c r="M140" s="78"/>
    </row>
    <row r="141" spans="12:13" customFormat="1" x14ac:dyDescent="0.3">
      <c r="L141" s="73"/>
      <c r="M141" s="78"/>
    </row>
    <row r="142" spans="12:13" customFormat="1" x14ac:dyDescent="0.3">
      <c r="L142" s="73"/>
      <c r="M142" s="78"/>
    </row>
    <row r="143" spans="12:13" customFormat="1" x14ac:dyDescent="0.3">
      <c r="L143" s="73"/>
      <c r="M143" s="78"/>
    </row>
    <row r="144" spans="12:13" customFormat="1" x14ac:dyDescent="0.3">
      <c r="L144" s="73"/>
      <c r="M144" s="78"/>
    </row>
    <row r="145" spans="12:13" customFormat="1" x14ac:dyDescent="0.3">
      <c r="L145" s="73"/>
      <c r="M145" s="78"/>
    </row>
    <row r="146" spans="12:13" customFormat="1" x14ac:dyDescent="0.3">
      <c r="L146" s="73"/>
      <c r="M146" s="78"/>
    </row>
    <row r="147" spans="12:13" customFormat="1" x14ac:dyDescent="0.3">
      <c r="L147" s="73"/>
      <c r="M147" s="78"/>
    </row>
    <row r="148" spans="12:13" customFormat="1" x14ac:dyDescent="0.3">
      <c r="L148" s="73"/>
      <c r="M148" s="78"/>
    </row>
    <row r="149" spans="12:13" customFormat="1" x14ac:dyDescent="0.3">
      <c r="L149" s="73"/>
      <c r="M149" s="78"/>
    </row>
    <row r="150" spans="12:13" customFormat="1" x14ac:dyDescent="0.3">
      <c r="L150" s="73"/>
      <c r="M150" s="78"/>
    </row>
    <row r="151" spans="12:13" customFormat="1" x14ac:dyDescent="0.3">
      <c r="L151" s="73"/>
      <c r="M151" s="78"/>
    </row>
    <row r="152" spans="12:13" customFormat="1" x14ac:dyDescent="0.3">
      <c r="L152" s="73"/>
      <c r="M152" s="78"/>
    </row>
    <row r="153" spans="12:13" customFormat="1" x14ac:dyDescent="0.3">
      <c r="L153" s="73"/>
      <c r="M153" s="78"/>
    </row>
    <row r="154" spans="12:13" customFormat="1" x14ac:dyDescent="0.3">
      <c r="L154" s="73"/>
      <c r="M154" s="78"/>
    </row>
    <row r="155" spans="12:13" customFormat="1" x14ac:dyDescent="0.3">
      <c r="L155" s="73"/>
      <c r="M155" s="78"/>
    </row>
    <row r="156" spans="12:13" customFormat="1" x14ac:dyDescent="0.3">
      <c r="L156" s="73"/>
      <c r="M156" s="78"/>
    </row>
    <row r="157" spans="12:13" customFormat="1" x14ac:dyDescent="0.3">
      <c r="L157" s="73"/>
      <c r="M157" s="78"/>
    </row>
    <row r="158" spans="12:13" customFormat="1" x14ac:dyDescent="0.3">
      <c r="L158" s="73"/>
      <c r="M158" s="78"/>
    </row>
    <row r="159" spans="12:13" customFormat="1" x14ac:dyDescent="0.3">
      <c r="L159" s="73"/>
      <c r="M159" s="78"/>
    </row>
    <row r="160" spans="12:13" customFormat="1" x14ac:dyDescent="0.3">
      <c r="L160" s="73"/>
      <c r="M160" s="78"/>
    </row>
    <row r="161" spans="12:13" customFormat="1" x14ac:dyDescent="0.3">
      <c r="L161" s="73"/>
      <c r="M161" s="78"/>
    </row>
    <row r="162" spans="12:13" customFormat="1" x14ac:dyDescent="0.3">
      <c r="L162" s="73"/>
      <c r="M162" s="78"/>
    </row>
    <row r="163" spans="12:13" customFormat="1" x14ac:dyDescent="0.3">
      <c r="L163" s="73"/>
      <c r="M163" s="78"/>
    </row>
    <row r="164" spans="12:13" customFormat="1" x14ac:dyDescent="0.3">
      <c r="L164" s="73"/>
      <c r="M164" s="78"/>
    </row>
    <row r="165" spans="12:13" customFormat="1" x14ac:dyDescent="0.3">
      <c r="L165" s="73"/>
      <c r="M165" s="78"/>
    </row>
    <row r="166" spans="12:13" customFormat="1" x14ac:dyDescent="0.3">
      <c r="L166" s="73"/>
      <c r="M166" s="78"/>
    </row>
    <row r="167" spans="12:13" customFormat="1" x14ac:dyDescent="0.3">
      <c r="L167" s="73"/>
      <c r="M167" s="78"/>
    </row>
    <row r="168" spans="12:13" customFormat="1" x14ac:dyDescent="0.3">
      <c r="L168" s="73"/>
      <c r="M168" s="78"/>
    </row>
    <row r="169" spans="12:13" customFormat="1" x14ac:dyDescent="0.3">
      <c r="L169" s="73"/>
      <c r="M169" s="78"/>
    </row>
    <row r="170" spans="12:13" customFormat="1" x14ac:dyDescent="0.3">
      <c r="L170" s="73"/>
      <c r="M170" s="78"/>
    </row>
    <row r="171" spans="12:13" customFormat="1" x14ac:dyDescent="0.3">
      <c r="L171" s="73"/>
      <c r="M171" s="78"/>
    </row>
    <row r="172" spans="12:13" customFormat="1" x14ac:dyDescent="0.3">
      <c r="L172" s="73"/>
      <c r="M172" s="78"/>
    </row>
    <row r="173" spans="12:13" customFormat="1" x14ac:dyDescent="0.3">
      <c r="L173" s="73"/>
      <c r="M173" s="78"/>
    </row>
    <row r="174" spans="12:13" customFormat="1" x14ac:dyDescent="0.3">
      <c r="L174" s="73"/>
      <c r="M174" s="78"/>
    </row>
    <row r="175" spans="12:13" customFormat="1" x14ac:dyDescent="0.3">
      <c r="L175" s="73"/>
      <c r="M175" s="78"/>
    </row>
    <row r="176" spans="12:13" customFormat="1" x14ac:dyDescent="0.3">
      <c r="L176" s="73"/>
      <c r="M176" s="78"/>
    </row>
    <row r="177" spans="12:13" customFormat="1" x14ac:dyDescent="0.3">
      <c r="L177" s="73"/>
      <c r="M177" s="78"/>
    </row>
    <row r="178" spans="12:13" customFormat="1" x14ac:dyDescent="0.3">
      <c r="L178" s="73"/>
      <c r="M178" s="78"/>
    </row>
    <row r="179" spans="12:13" customFormat="1" x14ac:dyDescent="0.3">
      <c r="L179" s="73"/>
      <c r="M179" s="78"/>
    </row>
    <row r="180" spans="12:13" customFormat="1" x14ac:dyDescent="0.3">
      <c r="L180" s="73"/>
      <c r="M180" s="78"/>
    </row>
    <row r="181" spans="12:13" customFormat="1" x14ac:dyDescent="0.3">
      <c r="L181" s="73"/>
      <c r="M181" s="78"/>
    </row>
    <row r="182" spans="12:13" customFormat="1" x14ac:dyDescent="0.3">
      <c r="L182" s="73"/>
      <c r="M182" s="78"/>
    </row>
    <row r="183" spans="12:13" customFormat="1" x14ac:dyDescent="0.3">
      <c r="L183" s="73"/>
      <c r="M183" s="78"/>
    </row>
    <row r="184" spans="12:13" customFormat="1" x14ac:dyDescent="0.3">
      <c r="L184" s="73"/>
      <c r="M184" s="78"/>
    </row>
    <row r="185" spans="12:13" customFormat="1" x14ac:dyDescent="0.3">
      <c r="L185" s="73"/>
      <c r="M185" s="78"/>
    </row>
    <row r="186" spans="12:13" customFormat="1" x14ac:dyDescent="0.3">
      <c r="L186" s="73"/>
      <c r="M186" s="78"/>
    </row>
    <row r="187" spans="12:13" customFormat="1" x14ac:dyDescent="0.3">
      <c r="L187" s="73"/>
      <c r="M187" s="78"/>
    </row>
    <row r="188" spans="12:13" customFormat="1" x14ac:dyDescent="0.3">
      <c r="L188" s="73"/>
      <c r="M188" s="78"/>
    </row>
    <row r="189" spans="12:13" customFormat="1" x14ac:dyDescent="0.3">
      <c r="L189" s="73"/>
      <c r="M189" s="78"/>
    </row>
    <row r="190" spans="12:13" customFormat="1" x14ac:dyDescent="0.3">
      <c r="L190" s="73"/>
      <c r="M190" s="78"/>
    </row>
    <row r="191" spans="12:13" customFormat="1" x14ac:dyDescent="0.3">
      <c r="L191" s="73"/>
      <c r="M191" s="78"/>
    </row>
    <row r="192" spans="12:13" customFormat="1" x14ac:dyDescent="0.3">
      <c r="L192" s="73"/>
      <c r="M192" s="78"/>
    </row>
    <row r="193" spans="12:13" customFormat="1" x14ac:dyDescent="0.3">
      <c r="L193" s="73"/>
      <c r="M193" s="78"/>
    </row>
    <row r="194" spans="12:13" customFormat="1" x14ac:dyDescent="0.3">
      <c r="L194" s="73"/>
      <c r="M194" s="78"/>
    </row>
    <row r="195" spans="12:13" customFormat="1" x14ac:dyDescent="0.3">
      <c r="L195" s="73"/>
      <c r="M195" s="78"/>
    </row>
    <row r="196" spans="12:13" customFormat="1" x14ac:dyDescent="0.3">
      <c r="L196" s="73"/>
      <c r="M196" s="78"/>
    </row>
    <row r="197" spans="12:13" customFormat="1" x14ac:dyDescent="0.3">
      <c r="L197" s="73"/>
      <c r="M197" s="78"/>
    </row>
    <row r="198" spans="12:13" customFormat="1" x14ac:dyDescent="0.3">
      <c r="L198" s="73"/>
      <c r="M198" s="78"/>
    </row>
    <row r="199" spans="12:13" customFormat="1" x14ac:dyDescent="0.3">
      <c r="L199" s="73"/>
      <c r="M199" s="78"/>
    </row>
    <row r="200" spans="12:13" customFormat="1" x14ac:dyDescent="0.3">
      <c r="L200" s="73"/>
      <c r="M200" s="78"/>
    </row>
    <row r="201" spans="12:13" customFormat="1" x14ac:dyDescent="0.3">
      <c r="L201" s="73"/>
      <c r="M201" s="78"/>
    </row>
  </sheetData>
  <mergeCells count="41">
    <mergeCell ref="AL27:AM27"/>
    <mergeCell ref="AL28:AM28"/>
    <mergeCell ref="AF2:AF3"/>
    <mergeCell ref="AG2:AG3"/>
    <mergeCell ref="AH2:AH3"/>
    <mergeCell ref="AI2:AI3"/>
    <mergeCell ref="AK2:AL3"/>
    <mergeCell ref="AB4:AC4"/>
    <mergeCell ref="AD4:AE4"/>
    <mergeCell ref="Z2:Z3"/>
    <mergeCell ref="AA2:AA3"/>
    <mergeCell ref="AB2:AC3"/>
    <mergeCell ref="AD2:AE3"/>
    <mergeCell ref="AK1:AX1"/>
    <mergeCell ref="AU2:AU3"/>
    <mergeCell ref="AV2:AV3"/>
    <mergeCell ref="AW2:AW3"/>
    <mergeCell ref="AX2:AX3"/>
    <mergeCell ref="AS2:AT3"/>
    <mergeCell ref="AQ4:AR4"/>
    <mergeCell ref="AS4:AT4"/>
    <mergeCell ref="AK4:AL4"/>
    <mergeCell ref="AM2:AN3"/>
    <mergeCell ref="AO2:AP3"/>
    <mergeCell ref="AQ2:AR3"/>
    <mergeCell ref="AO21:AS21"/>
    <mergeCell ref="Z1:AH1"/>
    <mergeCell ref="AO11:AV11"/>
    <mergeCell ref="AO12:AQ12"/>
    <mergeCell ref="AT12:AU12"/>
    <mergeCell ref="AO13:AQ13"/>
    <mergeCell ref="AT13:AU13"/>
    <mergeCell ref="AO9:AP9"/>
    <mergeCell ref="AQ9:AR9"/>
    <mergeCell ref="AS9:AT9"/>
    <mergeCell ref="AO8:AP8"/>
    <mergeCell ref="AQ8:AR8"/>
    <mergeCell ref="AS8:AT8"/>
    <mergeCell ref="AO7:AT7"/>
    <mergeCell ref="AM4:AN4"/>
    <mergeCell ref="AO4:AP4"/>
  </mergeCells>
  <conditionalFormatting sqref="L2:L71">
    <cfRule type="cellIs" dxfId="22" priority="8" operator="greaterThanOrEqual">
      <formula>95%</formula>
    </cfRule>
    <cfRule type="cellIs" dxfId="21" priority="9" operator="greaterThanOrEqual">
      <formula>90%</formula>
    </cfRule>
    <cfRule type="cellIs" dxfId="20" priority="11" operator="greaterThanOrEqual">
      <formula>85%</formula>
    </cfRule>
  </conditionalFormatting>
  <conditionalFormatting sqref="E2:R71">
    <cfRule type="expression" dxfId="19" priority="5">
      <formula>$Q2:$Q26=0</formula>
    </cfRule>
    <cfRule type="expression" dxfId="18" priority="6">
      <formula>$Q2:$Q26=1</formula>
    </cfRule>
  </conditionalFormatting>
  <conditionalFormatting sqref="M2:M71">
    <cfRule type="cellIs" dxfId="17" priority="7" operator="greaterThanOrEqual">
      <formula>95%</formula>
    </cfRule>
    <cfRule type="cellIs" dxfId="16" priority="10" operator="greaterThanOrEqual">
      <formula>90%</formula>
    </cfRule>
    <cfRule type="cellIs" dxfId="15" priority="12" operator="greaterThanOrEqual">
      <formula>85%</formula>
    </cfRule>
  </conditionalFormatting>
  <conditionalFormatting sqref="U2">
    <cfRule type="iconSet" priority="4">
      <iconSet iconSet="3Arrows">
        <cfvo type="percent" val="0"/>
        <cfvo type="num" val="$V$2"/>
        <cfvo type="num" val="$V$2" gte="0"/>
      </iconSet>
    </cfRule>
  </conditionalFormatting>
  <conditionalFormatting sqref="V2">
    <cfRule type="iconSet" priority="3">
      <iconSet iconSet="3Arrows">
        <cfvo type="percent" val="0"/>
        <cfvo type="num" val="$U$2"/>
        <cfvo type="num" val="$U$2" gte="0"/>
      </iconSet>
    </cfRule>
  </conditionalFormatting>
  <conditionalFormatting sqref="D2:D71">
    <cfRule type="expression" dxfId="14" priority="1">
      <formula>$Q2:$Q26=0</formula>
    </cfRule>
    <cfRule type="expression" dxfId="13" priority="2">
      <formula>$Q2:$Q26=1</formula>
    </cfRule>
  </conditionalFormatting>
  <dataValidations count="1">
    <dataValidation type="list" allowBlank="1" showInputMessage="1" showErrorMessage="1" sqref="O2:O71 AO12:AQ12" xr:uid="{00000000-0002-0000-0800-000000000000}">
      <formula1>ВидСпортаЧемпионат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800-000001000000}">
          <x14:formula1>
            <xm:f>Мастерская!$E$1:$E$3</xm:f>
          </x14:formula1>
          <xm:sqref>P2:P71 P202:P1048576</xm:sqref>
        </x14:dataValidation>
        <x14:dataValidation type="list" allowBlank="1" showInputMessage="1" showErrorMessage="1" xr:uid="{00000000-0002-0000-0800-000002000000}">
          <x14:formula1>
            <xm:f>Мастерская!$A$1:$A$6</xm:f>
          </x14:formula1>
          <xm:sqref>E2:E71</xm:sqref>
        </x14:dataValidation>
        <x14:dataValidation type="list" allowBlank="1" showInputMessage="1" showErrorMessage="1" xr:uid="{00000000-0002-0000-0800-000003000000}">
          <x14:formula1>
            <xm:f>Мастерская!$C$1:$C$3</xm:f>
          </x14:formula1>
          <xm:sqref>N2:N71 N202:N1048576</xm:sqref>
        </x14:dataValidation>
        <x14:dataValidation type="list" allowBlank="1" showInputMessage="1" showErrorMessage="1" xr:uid="{00000000-0002-0000-0800-000005000000}">
          <x14:formula1>
            <xm:f>Мастерская!$I:$I</xm:f>
          </x14:formula1>
          <xm:sqref>O202:O1048576</xm:sqref>
        </x14:dataValidation>
        <x14:dataValidation type="list" allowBlank="1" showInputMessage="1" showErrorMessage="1" xr:uid="{00000000-0002-0000-0800-000006000000}">
          <x14:formula1>
            <xm:f>Мастерская!$A:$A</xm:f>
          </x14:formula1>
          <xm:sqref>E202:E1048576</xm:sqref>
        </x14:dataValidation>
        <x14:dataValidation type="list" allowBlank="1" showInputMessage="1" showErrorMessage="1" xr:uid="{7008666B-ACE3-4DCB-B7BD-F007A14D8FCF}">
          <x14:formula1>
            <xm:f>Мастерская!$B$1:$B$23</xm:f>
          </x14:formula1>
          <xm:sqref>D2:D71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3"/>
  <dimension ref="A1:AX201"/>
  <sheetViews>
    <sheetView zoomScale="70" zoomScaleNormal="70" workbookViewId="0">
      <selection activeCell="A2" sqref="A2"/>
    </sheetView>
  </sheetViews>
  <sheetFormatPr defaultRowHeight="14.4" x14ac:dyDescent="0.3"/>
  <cols>
    <col min="1" max="1" width="12.109375" customWidth="1"/>
    <col min="2" max="2" width="12.6640625" customWidth="1"/>
    <col min="4" max="4" width="31.77734375" customWidth="1"/>
    <col min="5" max="5" width="18.6640625" style="20" customWidth="1"/>
    <col min="6" max="6" width="14.109375" style="17" customWidth="1"/>
    <col min="7" max="7" width="14.6640625" style="17" customWidth="1"/>
    <col min="8" max="8" width="14.88671875" style="17" customWidth="1"/>
    <col min="9" max="9" width="18" style="17" customWidth="1"/>
    <col min="10" max="10" width="20.33203125" style="17" customWidth="1"/>
    <col min="11" max="11" width="21.33203125" style="17" customWidth="1"/>
    <col min="12" max="12" width="23.109375" style="74" customWidth="1"/>
    <col min="13" max="13" width="20" style="79" customWidth="1"/>
    <col min="14" max="14" width="13" customWidth="1"/>
    <col min="15" max="15" width="29.33203125" style="13" customWidth="1"/>
    <col min="16" max="16" width="12.5546875" style="20" customWidth="1"/>
    <col min="17" max="17" width="19.109375" style="17" customWidth="1"/>
    <col min="18" max="18" width="19.44140625" style="32" customWidth="1"/>
    <col min="19" max="19" width="10.5546875" customWidth="1"/>
    <col min="20" max="20" width="9.109375" customWidth="1"/>
    <col min="21" max="21" width="9.44140625" customWidth="1"/>
    <col min="22" max="22" width="10.6640625" customWidth="1"/>
    <col min="23" max="23" width="9.6640625" customWidth="1"/>
    <col min="24" max="24" width="15.33203125" customWidth="1"/>
    <col min="34" max="34" width="12.33203125" customWidth="1"/>
    <col min="35" max="35" width="34.44140625" customWidth="1"/>
    <col min="38" max="38" width="13.88671875" customWidth="1"/>
    <col min="39" max="39" width="15.88671875" customWidth="1"/>
    <col min="41" max="41" width="21.88671875" customWidth="1"/>
    <col min="42" max="42" width="28.109375" customWidth="1"/>
    <col min="43" max="43" width="28.5546875" customWidth="1"/>
    <col min="44" max="44" width="34.5546875" customWidth="1"/>
    <col min="45" max="45" width="29.77734375" customWidth="1"/>
    <col min="46" max="46" width="20.5546875" customWidth="1"/>
    <col min="47" max="47" width="16" customWidth="1"/>
    <col min="48" max="48" width="19.109375" customWidth="1"/>
    <col min="49" max="49" width="15" customWidth="1"/>
    <col min="50" max="50" width="14.33203125" customWidth="1"/>
  </cols>
  <sheetData>
    <row r="1" spans="1:50" ht="78" customHeight="1" thickTop="1" thickBot="1" x14ac:dyDescent="0.35">
      <c r="A1" s="46" t="s">
        <v>0</v>
      </c>
      <c r="B1" s="47" t="s">
        <v>1</v>
      </c>
      <c r="C1" s="2"/>
      <c r="D1" s="116" t="s">
        <v>179</v>
      </c>
      <c r="E1" s="114" t="s">
        <v>5</v>
      </c>
      <c r="F1" s="7" t="s">
        <v>2</v>
      </c>
      <c r="G1" s="8" t="s">
        <v>10</v>
      </c>
      <c r="H1" s="8" t="s">
        <v>6</v>
      </c>
      <c r="I1" s="7" t="s">
        <v>4</v>
      </c>
      <c r="J1" s="9" t="s">
        <v>9</v>
      </c>
      <c r="K1" s="8" t="s">
        <v>11</v>
      </c>
      <c r="L1" s="10" t="s">
        <v>7</v>
      </c>
      <c r="M1" s="10" t="s">
        <v>8</v>
      </c>
      <c r="N1" s="7" t="s">
        <v>3</v>
      </c>
      <c r="O1" s="11" t="s">
        <v>20</v>
      </c>
      <c r="P1" s="7" t="s">
        <v>19</v>
      </c>
      <c r="Q1" s="29" t="s">
        <v>12</v>
      </c>
      <c r="R1" s="12" t="s">
        <v>89</v>
      </c>
      <c r="T1" s="43" t="s">
        <v>14</v>
      </c>
      <c r="U1" s="44" t="s">
        <v>68</v>
      </c>
      <c r="V1" s="63" t="s">
        <v>69</v>
      </c>
      <c r="W1" s="44" t="s">
        <v>13</v>
      </c>
      <c r="X1" s="45" t="s">
        <v>70</v>
      </c>
      <c r="Z1" s="148" t="s">
        <v>65</v>
      </c>
      <c r="AA1" s="149"/>
      <c r="AB1" s="149"/>
      <c r="AC1" s="149"/>
      <c r="AD1" s="149"/>
      <c r="AE1" s="149"/>
      <c r="AF1" s="149"/>
      <c r="AG1" s="149"/>
      <c r="AH1" s="149"/>
      <c r="AI1" s="12">
        <f t="array" ref="AI1">INDEX(D2:D71,MATCH(MAX(COUNTIF(D2:D71,D2:D71)),COUNTIF(D2:D71,D2:D71),0))</f>
        <v>0</v>
      </c>
      <c r="AK1" s="148" t="s">
        <v>175</v>
      </c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50"/>
    </row>
    <row r="2" spans="1:50" ht="16.5" customHeight="1" thickTop="1" thickBot="1" x14ac:dyDescent="0.35">
      <c r="A2" s="48"/>
      <c r="B2" s="49"/>
      <c r="D2" s="118"/>
      <c r="E2" s="115" t="s">
        <v>16</v>
      </c>
      <c r="F2" s="21"/>
      <c r="G2" s="21"/>
      <c r="H2" s="22" t="e">
        <f>(F2*100)/G2</f>
        <v>#DIV/0!</v>
      </c>
      <c r="I2" s="67"/>
      <c r="J2" s="21">
        <f>F2*I2+IF(N2="Фрибет",(F2*I2-F2)-F2*I2)</f>
        <v>0</v>
      </c>
      <c r="K2" s="22" t="e">
        <f>((J2*100)/G2)</f>
        <v>#DIV/0!</v>
      </c>
      <c r="L2" s="68" t="e">
        <f>1-M2</f>
        <v>#DIV/0!</v>
      </c>
      <c r="M2" s="69" t="e">
        <f>1/I2</f>
        <v>#DIV/0!</v>
      </c>
      <c r="N2" s="5"/>
      <c r="O2" s="28"/>
      <c r="P2" s="18" t="s">
        <v>39</v>
      </c>
      <c r="Q2" s="30">
        <f>IF(P2="Победа",1)+IF(P2="Поражение",0)+IF(P2="Не ставил",-2)</f>
        <v>-2</v>
      </c>
      <c r="R2" s="37"/>
      <c r="T2" s="39">
        <f>COUNTIF(Q2:Q1048576,1)+COUNTIF(Q2:Q1048576, 0)</f>
        <v>0</v>
      </c>
      <c r="U2" s="61">
        <f>COUNTIF(Q2:Q1048576,1)</f>
        <v>0</v>
      </c>
      <c r="V2" s="62">
        <f>COUNTIF(Q2:Q1048576,0)</f>
        <v>0</v>
      </c>
      <c r="W2" s="40" t="e">
        <f>(SUMIF(Q2:Q1048576,"=1")+SUMIF(Q2:Q1048576,"=0")*100)/T2</f>
        <v>#DIV/0!</v>
      </c>
      <c r="X2" s="41" t="e">
        <f>1-W2</f>
        <v>#DIV/0!</v>
      </c>
      <c r="Z2" s="190" t="s">
        <v>5</v>
      </c>
      <c r="AA2" s="160" t="s">
        <v>2</v>
      </c>
      <c r="AB2" s="192" t="s">
        <v>10</v>
      </c>
      <c r="AC2" s="193"/>
      <c r="AD2" s="192" t="s">
        <v>6</v>
      </c>
      <c r="AE2" s="193"/>
      <c r="AF2" s="144" t="s">
        <v>4</v>
      </c>
      <c r="AG2" s="144" t="s">
        <v>64</v>
      </c>
      <c r="AH2" s="144" t="s">
        <v>63</v>
      </c>
      <c r="AI2" s="175" t="s">
        <v>66</v>
      </c>
      <c r="AK2" s="179" t="s">
        <v>84</v>
      </c>
      <c r="AL2" s="180"/>
      <c r="AM2" s="185" t="s">
        <v>85</v>
      </c>
      <c r="AN2" s="180"/>
      <c r="AO2" s="186" t="s">
        <v>86</v>
      </c>
      <c r="AP2" s="187"/>
      <c r="AQ2" s="185" t="s">
        <v>87</v>
      </c>
      <c r="AR2" s="180"/>
      <c r="AS2" s="156" t="s">
        <v>123</v>
      </c>
      <c r="AT2" s="157"/>
      <c r="AU2" s="160" t="s">
        <v>119</v>
      </c>
      <c r="AV2" s="144" t="s">
        <v>120</v>
      </c>
      <c r="AW2" s="144" t="s">
        <v>121</v>
      </c>
      <c r="AX2" s="146" t="s">
        <v>122</v>
      </c>
    </row>
    <row r="3" spans="1:50" x14ac:dyDescent="0.3">
      <c r="A3" s="50"/>
      <c r="B3" s="51"/>
      <c r="D3" s="119"/>
      <c r="E3" s="115" t="s">
        <v>16</v>
      </c>
      <c r="F3" s="23"/>
      <c r="G3" s="23"/>
      <c r="H3" s="24" t="e">
        <f t="shared" ref="H3:H25" si="0">(F3*100)/G3</f>
        <v>#DIV/0!</v>
      </c>
      <c r="I3" s="33"/>
      <c r="J3" s="21">
        <f t="shared" ref="J3:J66" si="1">F3*I3+IF(N3="Фрибет",(F3*I3-F3)-F3*I3)</f>
        <v>0</v>
      </c>
      <c r="K3" s="24" t="e">
        <f t="shared" ref="K3:K66" si="2">((J3*100)/G3)</f>
        <v>#DIV/0!</v>
      </c>
      <c r="L3" s="70" t="e">
        <f t="shared" ref="L3:L66" si="3">1-M3</f>
        <v>#DIV/0!</v>
      </c>
      <c r="M3" s="75" t="e">
        <f t="shared" ref="M3:M66" si="4">1/I3</f>
        <v>#DIV/0!</v>
      </c>
      <c r="N3" s="1"/>
      <c r="O3" s="28"/>
      <c r="P3" s="19" t="s">
        <v>39</v>
      </c>
      <c r="Q3" s="31">
        <f>IF(P3="Победа",1)+IF(P3="Поражение",0)+IF(P3="Не ставил",-2)</f>
        <v>-2</v>
      </c>
      <c r="R3" s="38"/>
      <c r="T3" s="3"/>
      <c r="Z3" s="191"/>
      <c r="AA3" s="161"/>
      <c r="AB3" s="194"/>
      <c r="AC3" s="195"/>
      <c r="AD3" s="194"/>
      <c r="AE3" s="195"/>
      <c r="AF3" s="145"/>
      <c r="AG3" s="145"/>
      <c r="AH3" s="145"/>
      <c r="AI3" s="176"/>
      <c r="AK3" s="181"/>
      <c r="AL3" s="159"/>
      <c r="AM3" s="158"/>
      <c r="AN3" s="159"/>
      <c r="AO3" s="188"/>
      <c r="AP3" s="189"/>
      <c r="AQ3" s="158"/>
      <c r="AR3" s="159"/>
      <c r="AS3" s="158"/>
      <c r="AT3" s="159"/>
      <c r="AU3" s="161"/>
      <c r="AV3" s="145"/>
      <c r="AW3" s="145"/>
      <c r="AX3" s="147"/>
    </row>
    <row r="4" spans="1:50" ht="15" thickBot="1" x14ac:dyDescent="0.35">
      <c r="A4" s="50"/>
      <c r="B4" s="51"/>
      <c r="D4" s="119"/>
      <c r="E4" s="115" t="s">
        <v>16</v>
      </c>
      <c r="F4" s="14"/>
      <c r="G4" s="14"/>
      <c r="H4" s="15" t="e">
        <f t="shared" si="0"/>
        <v>#DIV/0!</v>
      </c>
      <c r="I4" s="35"/>
      <c r="J4" s="21">
        <f t="shared" si="1"/>
        <v>0</v>
      </c>
      <c r="K4" s="15" t="e">
        <f t="shared" si="2"/>
        <v>#DIV/0!</v>
      </c>
      <c r="L4" s="71" t="e">
        <f t="shared" si="3"/>
        <v>#DIV/0!</v>
      </c>
      <c r="M4" s="76" t="e">
        <f t="shared" si="4"/>
        <v>#DIV/0!</v>
      </c>
      <c r="N4" s="16"/>
      <c r="O4" s="28"/>
      <c r="P4" s="19" t="s">
        <v>39</v>
      </c>
      <c r="Q4" s="30">
        <f t="shared" ref="Q4:Q67" si="5">IF(P4="Победа",1)+IF(P4="Поражение",0)+IF(P4="Не ставил",-2)</f>
        <v>-2</v>
      </c>
      <c r="R4" s="38"/>
      <c r="Z4" s="89" t="str">
        <f t="array" ref="Z4">INDEX(E2:E71,MATCH(MAX(COUNTIF(E2:E71,E2:E71)),COUNTIF(E2:E71,E2:E71),0))</f>
        <v>Моя</v>
      </c>
      <c r="AA4" s="57" t="e">
        <f>AVERAGE(F2:F1048576)</f>
        <v>#DIV/0!</v>
      </c>
      <c r="AB4" s="177" t="e">
        <f>AVERAGE(G2:G1048576)</f>
        <v>#DIV/0!</v>
      </c>
      <c r="AC4" s="178"/>
      <c r="AD4" s="183" t="e">
        <f>AVERAGEIF(H2:H1048576, "&gt;0")</f>
        <v>#DIV/0!</v>
      </c>
      <c r="AE4" s="184"/>
      <c r="AF4" s="111" t="e">
        <f>AVERAGE(I2:I1048576)</f>
        <v>#DIV/0!</v>
      </c>
      <c r="AG4" s="85" t="e">
        <f>AVERAGEIF(L2:L1048576,"&gt;0")</f>
        <v>#DIV/0!</v>
      </c>
      <c r="AH4" s="87">
        <f t="array" ref="AH4">INDEX(N2:N71,MATCH(MAX(COUNTIF(N2:N71,N2:N71)),COUNTIF(N2:N71,N2:N71),0))</f>
        <v>0</v>
      </c>
      <c r="AI4" s="88">
        <f t="array" ref="AI4">INDEX(O2:O71,MATCH(MAX(COUNTIF(O2:O71,O2:O71)),COUNTIF(O2:O71,O2:O71),0))</f>
        <v>0</v>
      </c>
      <c r="AK4" s="182">
        <f>MAX(F2:F1048576)</f>
        <v>0</v>
      </c>
      <c r="AL4" s="178"/>
      <c r="AM4" s="177">
        <f>MIN(F2:F1048576)</f>
        <v>0</v>
      </c>
      <c r="AN4" s="178"/>
      <c r="AO4" s="183">
        <f>MAX(I2:I1048576)</f>
        <v>0</v>
      </c>
      <c r="AP4" s="184"/>
      <c r="AQ4" s="183">
        <f>MIN(I2:I1048576)</f>
        <v>0</v>
      </c>
      <c r="AR4" s="184"/>
      <c r="AS4" s="177">
        <f>MAX(J2:J1048576)</f>
        <v>0</v>
      </c>
      <c r="AT4" s="178"/>
      <c r="AU4" s="58">
        <f t="array" ref="AU4">MAX(IF(P2:P71=Мастерская!E1,J2:J71))</f>
        <v>0</v>
      </c>
      <c r="AV4" s="58">
        <f t="array" ref="AV4">MIN(IF(P2:P71=Мастерская!E1,J2:J71))</f>
        <v>0</v>
      </c>
      <c r="AW4" s="58">
        <f t="array" ref="AW4">MAX(IF(P2:P71=Мастерская!E2,F2:F71))</f>
        <v>0</v>
      </c>
      <c r="AX4" s="66">
        <f t="array" ref="AX4">MIN(IF(P2:P71=Мастерская!E2,F2:F71))</f>
        <v>0</v>
      </c>
    </row>
    <row r="5" spans="1:50" x14ac:dyDescent="0.3">
      <c r="A5" s="50"/>
      <c r="B5" s="51"/>
      <c r="D5" s="119"/>
      <c r="E5" s="115" t="s">
        <v>16</v>
      </c>
      <c r="F5" s="23"/>
      <c r="G5" s="23"/>
      <c r="H5" s="24" t="e">
        <f t="shared" si="0"/>
        <v>#DIV/0!</v>
      </c>
      <c r="I5" s="33"/>
      <c r="J5" s="21">
        <f t="shared" si="1"/>
        <v>0</v>
      </c>
      <c r="K5" s="24" t="e">
        <f t="shared" si="2"/>
        <v>#DIV/0!</v>
      </c>
      <c r="L5" s="70" t="e">
        <f t="shared" si="3"/>
        <v>#DIV/0!</v>
      </c>
      <c r="M5" s="75" t="e">
        <f t="shared" si="4"/>
        <v>#DIV/0!</v>
      </c>
      <c r="N5" s="1"/>
      <c r="O5" s="28"/>
      <c r="P5" s="19" t="s">
        <v>39</v>
      </c>
      <c r="Q5" s="31">
        <f t="shared" si="5"/>
        <v>-2</v>
      </c>
      <c r="R5" s="38"/>
    </row>
    <row r="6" spans="1:50" ht="15" thickBot="1" x14ac:dyDescent="0.35">
      <c r="A6" s="50"/>
      <c r="B6" s="51"/>
      <c r="D6" s="119"/>
      <c r="E6" s="115" t="s">
        <v>16</v>
      </c>
      <c r="F6" s="23"/>
      <c r="G6" s="23"/>
      <c r="H6" s="24" t="e">
        <f t="shared" si="0"/>
        <v>#DIV/0!</v>
      </c>
      <c r="I6" s="33"/>
      <c r="J6" s="21">
        <f t="shared" si="1"/>
        <v>0</v>
      </c>
      <c r="K6" s="24" t="e">
        <f t="shared" si="2"/>
        <v>#DIV/0!</v>
      </c>
      <c r="L6" s="70" t="e">
        <f t="shared" si="3"/>
        <v>#DIV/0!</v>
      </c>
      <c r="M6" s="75" t="e">
        <f t="shared" si="4"/>
        <v>#DIV/0!</v>
      </c>
      <c r="N6" s="1"/>
      <c r="O6" s="28"/>
      <c r="P6" s="19" t="s">
        <v>39</v>
      </c>
      <c r="Q6" s="30">
        <f t="shared" si="5"/>
        <v>-2</v>
      </c>
      <c r="R6" s="38"/>
    </row>
    <row r="7" spans="1:50" ht="15.6" thickTop="1" thickBot="1" x14ac:dyDescent="0.35">
      <c r="A7" s="50"/>
      <c r="B7" s="51"/>
      <c r="D7" s="119"/>
      <c r="E7" s="115" t="s">
        <v>16</v>
      </c>
      <c r="F7" s="23"/>
      <c r="G7" s="23"/>
      <c r="H7" s="24" t="e">
        <f t="shared" si="0"/>
        <v>#DIV/0!</v>
      </c>
      <c r="I7" s="33"/>
      <c r="J7" s="21">
        <f t="shared" si="1"/>
        <v>0</v>
      </c>
      <c r="K7" s="24" t="e">
        <f t="shared" si="2"/>
        <v>#DIV/0!</v>
      </c>
      <c r="L7" s="70" t="e">
        <f t="shared" si="3"/>
        <v>#DIV/0!</v>
      </c>
      <c r="M7" s="75" t="e">
        <f t="shared" si="4"/>
        <v>#DIV/0!</v>
      </c>
      <c r="N7" s="1"/>
      <c r="O7" s="28"/>
      <c r="P7" s="19" t="s">
        <v>39</v>
      </c>
      <c r="Q7" s="31">
        <f t="shared" si="5"/>
        <v>-2</v>
      </c>
      <c r="R7" s="38"/>
      <c r="AO7" s="196" t="s">
        <v>90</v>
      </c>
      <c r="AP7" s="203"/>
      <c r="AQ7" s="203"/>
      <c r="AR7" s="203"/>
      <c r="AS7" s="203"/>
      <c r="AT7" s="197"/>
    </row>
    <row r="8" spans="1:50" ht="15" thickTop="1" x14ac:dyDescent="0.3">
      <c r="A8" s="50"/>
      <c r="B8" s="51"/>
      <c r="D8" s="119"/>
      <c r="E8" s="115" t="s">
        <v>16</v>
      </c>
      <c r="F8" s="23"/>
      <c r="G8" s="23"/>
      <c r="H8" s="24" t="e">
        <f t="shared" si="0"/>
        <v>#DIV/0!</v>
      </c>
      <c r="I8" s="33"/>
      <c r="J8" s="21">
        <f t="shared" si="1"/>
        <v>0</v>
      </c>
      <c r="K8" s="24" t="e">
        <f t="shared" si="2"/>
        <v>#DIV/0!</v>
      </c>
      <c r="L8" s="70" t="e">
        <f t="shared" si="3"/>
        <v>#DIV/0!</v>
      </c>
      <c r="M8" s="75" t="e">
        <f t="shared" si="4"/>
        <v>#DIV/0!</v>
      </c>
      <c r="N8" s="1"/>
      <c r="O8" s="28"/>
      <c r="P8" s="19" t="s">
        <v>39</v>
      </c>
      <c r="Q8" s="30">
        <f t="shared" si="5"/>
        <v>-2</v>
      </c>
      <c r="R8" s="38"/>
      <c r="AO8" s="166" t="s">
        <v>178</v>
      </c>
      <c r="AP8" s="167"/>
      <c r="AQ8" s="168" t="s">
        <v>17</v>
      </c>
      <c r="AR8" s="167"/>
      <c r="AS8" s="168" t="s">
        <v>40</v>
      </c>
      <c r="AT8" s="169"/>
    </row>
    <row r="9" spans="1:50" ht="15" thickBot="1" x14ac:dyDescent="0.35">
      <c r="A9" s="52"/>
      <c r="B9" s="51"/>
      <c r="D9" s="119"/>
      <c r="E9" s="115" t="s">
        <v>16</v>
      </c>
      <c r="F9" s="23"/>
      <c r="G9" s="23"/>
      <c r="H9" s="24" t="e">
        <f t="shared" si="0"/>
        <v>#DIV/0!</v>
      </c>
      <c r="I9" s="33"/>
      <c r="J9" s="21">
        <f t="shared" si="1"/>
        <v>0</v>
      </c>
      <c r="K9" s="24" t="e">
        <f t="shared" si="2"/>
        <v>#DIV/0!</v>
      </c>
      <c r="L9" s="70" t="e">
        <f t="shared" si="3"/>
        <v>#DIV/0!</v>
      </c>
      <c r="M9" s="75" t="e">
        <f t="shared" si="4"/>
        <v>#DIV/0!</v>
      </c>
      <c r="N9" s="1"/>
      <c r="O9" s="28"/>
      <c r="P9" s="19" t="s">
        <v>39</v>
      </c>
      <c r="Q9" s="31">
        <f t="shared" si="5"/>
        <v>-2</v>
      </c>
      <c r="R9" s="38"/>
      <c r="AO9" s="162">
        <f>COUNTIF(N2:N1048576, "Одинар")</f>
        <v>0</v>
      </c>
      <c r="AP9" s="163"/>
      <c r="AQ9" s="164">
        <f>COUNTIF(N2:N1048576, "Экспресс")</f>
        <v>0</v>
      </c>
      <c r="AR9" s="163"/>
      <c r="AS9" s="164">
        <f>COUNTIF(N2:N1048576, "Фрибет")</f>
        <v>0</v>
      </c>
      <c r="AT9" s="165"/>
    </row>
    <row r="10" spans="1:50" ht="15" thickBot="1" x14ac:dyDescent="0.35">
      <c r="A10" s="52"/>
      <c r="B10" s="51"/>
      <c r="D10" s="119"/>
      <c r="E10" s="115" t="s">
        <v>16</v>
      </c>
      <c r="F10" s="25"/>
      <c r="G10" s="25"/>
      <c r="H10" s="26" t="e">
        <f t="shared" si="0"/>
        <v>#DIV/0!</v>
      </c>
      <c r="I10" s="36"/>
      <c r="J10" s="21">
        <f t="shared" si="1"/>
        <v>0</v>
      </c>
      <c r="K10" s="26" t="e">
        <f t="shared" si="2"/>
        <v>#DIV/0!</v>
      </c>
      <c r="L10" s="72" t="e">
        <f t="shared" si="3"/>
        <v>#DIV/0!</v>
      </c>
      <c r="M10" s="77" t="e">
        <f t="shared" si="4"/>
        <v>#DIV/0!</v>
      </c>
      <c r="N10" s="4"/>
      <c r="O10" s="28"/>
      <c r="P10" s="19" t="s">
        <v>39</v>
      </c>
      <c r="Q10" s="30">
        <f t="shared" si="5"/>
        <v>-2</v>
      </c>
      <c r="R10" s="38"/>
    </row>
    <row r="11" spans="1:50" ht="15.6" thickTop="1" thickBot="1" x14ac:dyDescent="0.35">
      <c r="A11" s="50"/>
      <c r="B11" s="51"/>
      <c r="D11" s="119"/>
      <c r="E11" s="115" t="s">
        <v>16</v>
      </c>
      <c r="F11" s="23"/>
      <c r="G11" s="23"/>
      <c r="H11" s="24" t="e">
        <f t="shared" si="0"/>
        <v>#DIV/0!</v>
      </c>
      <c r="I11" s="33"/>
      <c r="J11" s="21">
        <f t="shared" si="1"/>
        <v>0</v>
      </c>
      <c r="K11" s="24" t="e">
        <f t="shared" si="2"/>
        <v>#DIV/0!</v>
      </c>
      <c r="L11" s="70" t="e">
        <f t="shared" si="3"/>
        <v>#DIV/0!</v>
      </c>
      <c r="M11" s="75" t="e">
        <f t="shared" si="4"/>
        <v>#DIV/0!</v>
      </c>
      <c r="N11" s="1"/>
      <c r="O11" s="28"/>
      <c r="P11" s="19" t="s">
        <v>39</v>
      </c>
      <c r="Q11" s="31">
        <f t="shared" si="5"/>
        <v>-2</v>
      </c>
      <c r="R11" s="38"/>
      <c r="AO11" s="200" t="s">
        <v>177</v>
      </c>
      <c r="AP11" s="201"/>
      <c r="AQ11" s="201"/>
      <c r="AR11" s="201"/>
      <c r="AS11" s="201"/>
      <c r="AT11" s="201"/>
      <c r="AU11" s="201"/>
      <c r="AV11" s="202"/>
    </row>
    <row r="12" spans="1:50" ht="15" thickTop="1" x14ac:dyDescent="0.3">
      <c r="A12" s="50"/>
      <c r="B12" s="51"/>
      <c r="D12" s="119"/>
      <c r="E12" s="115" t="s">
        <v>16</v>
      </c>
      <c r="F12" s="21"/>
      <c r="G12" s="21"/>
      <c r="H12" s="22" t="e">
        <f t="shared" si="0"/>
        <v>#DIV/0!</v>
      </c>
      <c r="I12" s="34"/>
      <c r="J12" s="21">
        <f t="shared" si="1"/>
        <v>0</v>
      </c>
      <c r="K12" s="22" t="e">
        <f t="shared" si="2"/>
        <v>#DIV/0!</v>
      </c>
      <c r="L12" s="68" t="e">
        <f t="shared" si="3"/>
        <v>#DIV/0!</v>
      </c>
      <c r="M12" s="69" t="e">
        <f t="shared" si="4"/>
        <v>#DIV/0!</v>
      </c>
      <c r="N12" s="5"/>
      <c r="O12" s="28"/>
      <c r="P12" s="19" t="s">
        <v>39</v>
      </c>
      <c r="Q12" s="30">
        <f t="shared" si="5"/>
        <v>-2</v>
      </c>
      <c r="R12" s="38"/>
      <c r="AO12" s="154" t="s">
        <v>33</v>
      </c>
      <c r="AP12" s="155"/>
      <c r="AQ12" s="155"/>
      <c r="AR12" s="96" t="s">
        <v>109</v>
      </c>
      <c r="AS12" s="96" t="s">
        <v>110</v>
      </c>
      <c r="AT12" s="155" t="s">
        <v>111</v>
      </c>
      <c r="AU12" s="155"/>
      <c r="AV12" s="91" t="s">
        <v>112</v>
      </c>
    </row>
    <row r="13" spans="1:50" ht="15" thickBot="1" x14ac:dyDescent="0.35">
      <c r="A13" s="50"/>
      <c r="B13" s="51"/>
      <c r="D13" s="119"/>
      <c r="E13" s="115" t="s">
        <v>16</v>
      </c>
      <c r="F13" s="23"/>
      <c r="G13" s="23"/>
      <c r="H13" s="24" t="e">
        <f t="shared" si="0"/>
        <v>#DIV/0!</v>
      </c>
      <c r="I13" s="33"/>
      <c r="J13" s="21">
        <f t="shared" si="1"/>
        <v>0</v>
      </c>
      <c r="K13" s="24" t="e">
        <f t="shared" si="2"/>
        <v>#DIV/0!</v>
      </c>
      <c r="L13" s="70" t="e">
        <f t="shared" si="3"/>
        <v>#DIV/0!</v>
      </c>
      <c r="M13" s="75" t="e">
        <f t="shared" si="4"/>
        <v>#DIV/0!</v>
      </c>
      <c r="N13" s="1"/>
      <c r="O13" s="28"/>
      <c r="P13" s="19" t="s">
        <v>39</v>
      </c>
      <c r="Q13" s="31">
        <f t="shared" si="5"/>
        <v>-2</v>
      </c>
      <c r="R13" s="38"/>
      <c r="AO13" s="173">
        <f>IF(AO12="Футбол - Лига Чемпионов УЕФА",Мастерская!J1, 0)+IF(AO12="Футбол - Лига Европы УЕФА",Мастерская!J2, 0)+IF(AO12="Футбол - Еврокубки. Другое",Мастерская!J3, 0)+IF(AO12="Футбол - Россия. РПЛ",Мастерская!J4, 0)+IF(AO12="Футбол - Кубок России",Мастерская!J5, 0)+IF(AO12="Футбол - Россия. ФНЛ",Мастерская!J6, 0)+IF(AO12="Футбол - Россия. ПФЛ",Мастерская!J7, 0)+IF(AO12="Футбол - Россия. Другое",Мастерская!J8, 0)+IF(AO12="Футбол - Англия. АПЛ",Мастерская!J9, 0)+IF(AO12="Футбол - Кубок Англии",Мастерская!J10, 0)+IF(AO12="Футбол - Англия. Кубок Лиги",Мастерская!J11, 0)+IF(AO12="Футбол - Англия. Чемпионшип",Мастерская!J12, 0)+IF(AO12="Футбол - Испания. Ла Лига",Мастерская!J13, 0)+IF(AO12="Футбол - Италия. Серия А",Мастерская!J14, 0)+IF(AO12="Футбол - Германия. Бундеслига",Мастерская!J15, 0)+IF(AO12="Футбол - Франция. Лига 1",Мастерская!J16, 0)+IF(AO12="Футбол - Португалия. Лига NOS",Мастерская!J17, 0)+IF(AO12="Футбол - Турция. Суперлига",Мастерская!J18, 0)+IF(AO12="Футбол - Нидерланды. Эредивизи",Мастерская!J19, 0)+IF(AO12="Футбол - Греция. Суперлига",Мастерская!J20, 0)+IF(AO12="Футбол - Украина. УПЛ",Мастерская!J21, 0)+IF(AO12="Футбол - Кубок Либертадорес",Мастерская!J22, 0)+IF(AO12="Футбол - США/Канада. MLS",Мастерская!J23, 0)+IF(AO12="Футбол - Бразилия. Сериа А",Мастерская!J24, 0)+IF(AO12="Футбол - Аргентина. Суперлига",Мастерская!J25, 0)+IF(AO12="Футбол - Китай. Суперлига",Мастерская!J26, 0)+IF(AO12="Футбол - Сборные. Чемпионат мира",Мастерская!J27, 0)+IF(AO12="Футбол - Сборные. Чемпионат Европы",Мастерская!J28, 0)+IF(AO12="Футбол - Сборные. Лига Наций",Мастерская!J29, 0)+IF(AO12="Футбол - Сборные. Кубок Америки",Мастерская!J30, 0)+IF(AO12="Футбол - Сборные. Кубок Азии",Мастерская!J31, 0)+IF(AO12="Футбол - Сборные. Кубок Африки",Мастерская!J32, 0)+IF(AO12="Футбол - Сборные. КОНКАКАФ",Мастерская!J33, 0)+IF(AO12="Футбол - Сборные.  Другое",Мастерская!J34, 0)+IF(AO12="Хоккей - КХЛ",Мастерская!J35, 0)+IF(AO12="Хоккей - НХЛ",Мастерская!J36, 0)+IF(AO12="Хоккей - Сборные. Чемпионат мира",Мастерская!J37, 0)+IF(AO12="Хоккей - Сборные. Евротур",Мастерская!J38, 0)+IF(AO12="Смешанные единоборства - UFC",Мастерская!J39, 0)+IF(AO12="Смешанные единоборства - Bellator",Мастерская!J40, 0)+IF(AO12="Смешанные единоборства - M-1",Мастерская!J41, 0)+IF(AO12="Смешанные единоборства - Fight Nights Global",Мастерская!J42, 0)+IF(AO12="Бокс - WBA",Мастерская!J43, 0)+IF(AO12="Бокс - WBC",Мастерская!J44, 0)+IF(AO12="Бокс - WBO",Мастерская!J45, 0)+IF(AO12="Бокс - IBF",Мастерская!J46, 0)+IF(AO12="Бокс - IBO",Мастерская!J47, 0)+IF(AO12="Теннис - Уимблдон. ATP",Мастерская!J48, 0)+IF(AO12="Теннис - Уимблдон. WTA",Мастерская!J49, 0)+IF(AO12="Теннис - Australian Open",Мастерская!J50, 0)+IF(AO12="Теннис - Франция. Ролан Гаррос",Мастерская!J51, 0)+IF(AO12="Теннис - US Open",Мастерская!J52, 0)+IF(AO12="Теннис - Кубок Федерации",Мастерская!J53, 0)+IF(AO12="Теннис - Кубок Дэвиса",Мастерская!J54, 0)+IF(AO12="Теннис - Кубок Кремля",Мастерская!J55, 0)+IF(AO12="Баскетбол - Сборные. Чемпионат мира",Мастерская!J56, 0)+IF(AO12="Баскетбол - Сборные. Чемпионат Европы",Мастерская!J57, 0)+IF(AO12="Баскетбол - Евролига",Мастерская!J58, 0)+IF(AO12="Баскетбол - Еврокубок",Мастерская!J59, 0)+IF(AO12="Баскетбол - Лига Чемпионов",Мастерская!J60, 0)+IF(AO12="Баскетбол - Россия. Единая Лига ВТБ",Мастерская!J61, 0)+IF(AO12="Баскетбол - США. NBA",Мастерская!J62, 0)+IF(AO12="Волейбол - Сборные. Чемпионат мира",Мастерская!J63, 0)+IF(AO12="Волейбол - Сборные. Кубок мира",Мастерская!J64, 0)+IF(AO12="Волейбол - Сборные. Всемирный Кубок Чемпионов",Мастерская!J65, 0)+IF(AO12="Волейбол - Сборные. Лига наций",Мастерская!J66, 0)+IF(AO12="Волейбол - Сборные. Чемпионат Европы",Мастерская!J67, 0)+IF(AO12="Волейбол - Евролига",Мастерская!J68, 0)+IF(AO12="Волейбол - Чемпионат России",Мастерская!J69, 0)+IF(AO12="Биатлон - Чемпионат мира",Мастерская!J70, 0)+IF(AO12="Биатлон - Чемпионат Европы",Мастерская!J71, 0)+IF(AO12="Биатлон - Кубок мира",Мастерская!J72, 0)+IF(AO12="Биатлон - Кубок IBU",Мастерская!J73, 0)+IF(AO12="Формула-1",Мастерская!J74, 0)+IF(AO12="Киберспорт - The International. Dota 2 Championships",Мастерская!J75, 0)+IF(AO12="Киберспорт - Другое",Мастерская!J76, 0)+IF(AO12="Мини-футбол - Сборные. Чемпионат мира",Мастерская!J77, 0)+IF(AO12="Мини-футбол - Сборные. Чемпионат Европы",Мастерская!J78, 0)+IF(AO12="Мини-футбол - Лига Чемпионов УЕФА",Мастерская!J79, 0)+IF(AO12="Мини-футбол - Россия. Суперлига",Мастерская!J80, 0)+IF(AO12="Мини-футбол - Бразилия. Лига футзала",Мастерская!J81, 0)+IF(AO12="Пляжный футбол - Сборные. Чемпионат мира",Мастерская!J82, 0)+IF(AO12="Пляжный футбол - Сборные. Межконтинентальный кубок",Мастерская!J83, 0)+IF(AO12="Пляжный футбол - Сборные. Кубок Европы",Мастерская!J84, 0)+IF(AO12="Пляжный футбол - Кубок европейских чемпионов",Мастерская!J85, 0)+IF(AO12="Пляжный футбол - Чемпионат России",Мастерская!J86, 0)+IF(AO12="Настольный теннис - Сборные. Чемпионат мира",Мастерская!J87, 0)+IF(AO12="Настольный теннис - Сборные. Чемпионат Европы",Мастерская!J88, 0)+IF(AO12="Хоккей с мячом - Сборные. Чемпионат мира",Мастерская!J89, 0)+IF(AO12="Хоккей с мячом - Россия. Суперлига",Мастерская!J90, 0)+IF(AO12="Гандбол",Мастерская!J91, 0)+IF(AO12="Снукер",Мастерская!J92, 0)+IF(AO12="Скачки",Мастерская!J93, 0)+IF(AO12="Американский футбол",Мастерская!J94, 0)+IF(AO12="Бейсбол",Мастерская!J95, 0)+IF(AO12="Водное поло",Мастерская!J96, 0)+IF(AO12="Лыжные гонки",Мастерская!J97, 0)+IF(AO12="Тяжёлая атлетика",Мастерская!J98, 0)+IF(AO12="Лёгкая атлетика",Мастерская!J99, 0)+IF(AO12="Регби",Мастерская!J100, 0)+IF(AO12="Пляжный волейбол",Мастерская!J101, 0)+IF(AO12="Кёрлинг",Мастерская!J102, 0)+IF(AO12="Гольф",Мастерская!J103, 0)+IF(AO12="Прыжки с трамплина",Мастерская!J104, 0)</f>
        <v>0</v>
      </c>
      <c r="AP13" s="174"/>
      <c r="AQ13" s="174"/>
      <c r="AR13" s="95">
        <f>SUM(Мастерская!J1:J34)</f>
        <v>0</v>
      </c>
      <c r="AS13" s="95">
        <f>SUM(Мастерская!J35:J38)</f>
        <v>0</v>
      </c>
      <c r="AT13" s="174">
        <f>SUM(Мастерская!J39:J42)</f>
        <v>0</v>
      </c>
      <c r="AU13" s="174"/>
      <c r="AV13" s="97">
        <f>SUM(Мастерская!J43:J47)</f>
        <v>0</v>
      </c>
    </row>
    <row r="14" spans="1:50" ht="15" thickTop="1" x14ac:dyDescent="0.3">
      <c r="A14" s="50"/>
      <c r="B14" s="51"/>
      <c r="D14" s="119"/>
      <c r="E14" s="115" t="s">
        <v>16</v>
      </c>
      <c r="F14" s="23"/>
      <c r="G14" s="23"/>
      <c r="H14" s="24" t="e">
        <f t="shared" si="0"/>
        <v>#DIV/0!</v>
      </c>
      <c r="I14" s="33"/>
      <c r="J14" s="21">
        <f t="shared" si="1"/>
        <v>0</v>
      </c>
      <c r="K14" s="24" t="e">
        <f t="shared" si="2"/>
        <v>#DIV/0!</v>
      </c>
      <c r="L14" s="70" t="e">
        <f t="shared" si="3"/>
        <v>#DIV/0!</v>
      </c>
      <c r="M14" s="75" t="e">
        <f t="shared" si="4"/>
        <v>#DIV/0!</v>
      </c>
      <c r="N14" s="1"/>
      <c r="O14" s="28"/>
      <c r="P14" s="19" t="s">
        <v>39</v>
      </c>
      <c r="Q14" s="30">
        <f t="shared" si="5"/>
        <v>-2</v>
      </c>
      <c r="R14" s="38"/>
      <c r="AO14" s="92" t="s">
        <v>113</v>
      </c>
      <c r="AP14" s="94" t="s">
        <v>114</v>
      </c>
      <c r="AQ14" s="94" t="s">
        <v>115</v>
      </c>
      <c r="AR14" s="94" t="s">
        <v>116</v>
      </c>
      <c r="AS14" s="94" t="s">
        <v>61</v>
      </c>
      <c r="AT14" s="94" t="s">
        <v>117</v>
      </c>
      <c r="AU14" s="94" t="s">
        <v>151</v>
      </c>
      <c r="AV14" s="98" t="s">
        <v>152</v>
      </c>
    </row>
    <row r="15" spans="1:50" ht="15" thickBot="1" x14ac:dyDescent="0.35">
      <c r="A15" s="50"/>
      <c r="B15" s="51"/>
      <c r="D15" s="119"/>
      <c r="E15" s="115" t="s">
        <v>16</v>
      </c>
      <c r="F15" s="23"/>
      <c r="G15" s="23"/>
      <c r="H15" s="24" t="e">
        <f t="shared" si="0"/>
        <v>#DIV/0!</v>
      </c>
      <c r="I15" s="33"/>
      <c r="J15" s="21">
        <f t="shared" si="1"/>
        <v>0</v>
      </c>
      <c r="K15" s="24" t="e">
        <f t="shared" si="2"/>
        <v>#DIV/0!</v>
      </c>
      <c r="L15" s="70" t="e">
        <f t="shared" si="3"/>
        <v>#DIV/0!</v>
      </c>
      <c r="M15" s="75" t="e">
        <f t="shared" si="4"/>
        <v>#DIV/0!</v>
      </c>
      <c r="N15" s="1"/>
      <c r="O15" s="28"/>
      <c r="P15" s="19" t="s">
        <v>39</v>
      </c>
      <c r="Q15" s="31">
        <f t="shared" si="5"/>
        <v>-2</v>
      </c>
      <c r="R15" s="38"/>
      <c r="AO15" s="93">
        <f>SUM(Мастерская!J48:J55)</f>
        <v>0</v>
      </c>
      <c r="AP15" s="95">
        <f>SUM(Мастерская!J56:J62)</f>
        <v>0</v>
      </c>
      <c r="AQ15" s="95">
        <f>SUM(Мастерская!J63:J69)</f>
        <v>0</v>
      </c>
      <c r="AR15" s="95">
        <f>SUM(Мастерская!J70:J73)</f>
        <v>0</v>
      </c>
      <c r="AS15" s="95">
        <f>Мастерская!J74</f>
        <v>0</v>
      </c>
      <c r="AT15" s="95">
        <f>SUM(Мастерская!J75:J76)</f>
        <v>0</v>
      </c>
      <c r="AU15" s="95">
        <f>SUM(Мастерская!J77:J81)</f>
        <v>0</v>
      </c>
      <c r="AV15" s="97">
        <f>SUM(Мастерская!J82:J86)</f>
        <v>0</v>
      </c>
    </row>
    <row r="16" spans="1:50" ht="15" thickTop="1" x14ac:dyDescent="0.3">
      <c r="A16" s="50"/>
      <c r="B16" s="51"/>
      <c r="D16" s="119"/>
      <c r="E16" s="115" t="s">
        <v>16</v>
      </c>
      <c r="F16" s="23"/>
      <c r="G16" s="23"/>
      <c r="H16" s="24" t="e">
        <f t="shared" si="0"/>
        <v>#DIV/0!</v>
      </c>
      <c r="I16" s="33"/>
      <c r="J16" s="21">
        <f t="shared" si="1"/>
        <v>0</v>
      </c>
      <c r="K16" s="24" t="e">
        <f t="shared" si="2"/>
        <v>#DIV/0!</v>
      </c>
      <c r="L16" s="70" t="e">
        <f t="shared" si="3"/>
        <v>#DIV/0!</v>
      </c>
      <c r="M16" s="75" t="e">
        <f t="shared" si="4"/>
        <v>#DIV/0!</v>
      </c>
      <c r="N16" s="1"/>
      <c r="O16" s="28"/>
      <c r="P16" s="19" t="s">
        <v>39</v>
      </c>
      <c r="Q16" s="30">
        <f t="shared" si="5"/>
        <v>-2</v>
      </c>
      <c r="R16" s="38"/>
      <c r="AO16" s="99" t="s">
        <v>145</v>
      </c>
      <c r="AP16" s="100" t="s">
        <v>154</v>
      </c>
      <c r="AQ16" s="100" t="s">
        <v>144</v>
      </c>
      <c r="AR16" s="100" t="s">
        <v>155</v>
      </c>
      <c r="AS16" s="100" t="s">
        <v>146</v>
      </c>
      <c r="AT16" s="100" t="s">
        <v>153</v>
      </c>
      <c r="AU16" s="100" t="s">
        <v>143</v>
      </c>
      <c r="AV16" s="101" t="s">
        <v>157</v>
      </c>
    </row>
    <row r="17" spans="1:48" ht="15" thickBot="1" x14ac:dyDescent="0.35">
      <c r="A17" s="50"/>
      <c r="B17" s="51"/>
      <c r="D17" s="119"/>
      <c r="E17" s="115" t="s">
        <v>16</v>
      </c>
      <c r="F17" s="23"/>
      <c r="G17" s="23"/>
      <c r="H17" s="24" t="e">
        <f t="shared" si="0"/>
        <v>#DIV/0!</v>
      </c>
      <c r="I17" s="33"/>
      <c r="J17" s="21">
        <f t="shared" si="1"/>
        <v>0</v>
      </c>
      <c r="K17" s="24" t="e">
        <f t="shared" si="2"/>
        <v>#DIV/0!</v>
      </c>
      <c r="L17" s="70" t="e">
        <f t="shared" si="3"/>
        <v>#DIV/0!</v>
      </c>
      <c r="M17" s="75" t="e">
        <f t="shared" si="4"/>
        <v>#DIV/0!</v>
      </c>
      <c r="N17" s="1"/>
      <c r="O17" s="28"/>
      <c r="P17" s="19" t="s">
        <v>39</v>
      </c>
      <c r="Q17" s="31">
        <f t="shared" si="5"/>
        <v>-2</v>
      </c>
      <c r="R17" s="38"/>
      <c r="AO17" s="102">
        <f>SUM(Мастерская!J87:J88)</f>
        <v>0</v>
      </c>
      <c r="AP17" s="103">
        <f>SUM(Мастерская!J89:J90)</f>
        <v>0</v>
      </c>
      <c r="AQ17" s="103">
        <f>Мастерская!J91</f>
        <v>0</v>
      </c>
      <c r="AR17" s="103">
        <f>Мастерская!J92</f>
        <v>0</v>
      </c>
      <c r="AS17" s="103">
        <f>Мастерская!J93</f>
        <v>0</v>
      </c>
      <c r="AT17" s="103">
        <f>Мастерская!J94</f>
        <v>0</v>
      </c>
      <c r="AU17" s="103">
        <f>Мастерская!J95</f>
        <v>0</v>
      </c>
      <c r="AV17" s="104">
        <f>Мастерская!J96</f>
        <v>0</v>
      </c>
    </row>
    <row r="18" spans="1:48" ht="15" thickTop="1" x14ac:dyDescent="0.3">
      <c r="A18" s="50"/>
      <c r="B18" s="51"/>
      <c r="D18" s="119"/>
      <c r="E18" s="115" t="s">
        <v>16</v>
      </c>
      <c r="F18" s="23"/>
      <c r="G18" s="23"/>
      <c r="H18" s="24" t="e">
        <f t="shared" si="0"/>
        <v>#DIV/0!</v>
      </c>
      <c r="I18" s="33"/>
      <c r="J18" s="21">
        <f t="shared" si="1"/>
        <v>0</v>
      </c>
      <c r="K18" s="24" t="e">
        <f t="shared" si="2"/>
        <v>#DIV/0!</v>
      </c>
      <c r="L18" s="70" t="e">
        <f t="shared" si="3"/>
        <v>#DIV/0!</v>
      </c>
      <c r="M18" s="75" t="e">
        <f t="shared" si="4"/>
        <v>#DIV/0!</v>
      </c>
      <c r="N18" s="1"/>
      <c r="O18" s="28"/>
      <c r="P18" s="19" t="s">
        <v>39</v>
      </c>
      <c r="Q18" s="30">
        <f t="shared" si="5"/>
        <v>-2</v>
      </c>
      <c r="R18" s="38"/>
      <c r="AO18" s="99" t="s">
        <v>156</v>
      </c>
      <c r="AP18" s="100" t="s">
        <v>159</v>
      </c>
      <c r="AQ18" s="100" t="s">
        <v>158</v>
      </c>
      <c r="AR18" s="100" t="s">
        <v>161</v>
      </c>
      <c r="AS18" s="100" t="s">
        <v>162</v>
      </c>
      <c r="AT18" s="100" t="s">
        <v>160</v>
      </c>
      <c r="AU18" s="100" t="s">
        <v>163</v>
      </c>
      <c r="AV18" s="101" t="s">
        <v>164</v>
      </c>
    </row>
    <row r="19" spans="1:48" ht="15" thickBot="1" x14ac:dyDescent="0.35">
      <c r="A19" s="50"/>
      <c r="B19" s="51"/>
      <c r="D19" s="119"/>
      <c r="E19" s="115" t="s">
        <v>16</v>
      </c>
      <c r="F19" s="23"/>
      <c r="G19" s="23"/>
      <c r="H19" s="24" t="e">
        <f t="shared" si="0"/>
        <v>#DIV/0!</v>
      </c>
      <c r="I19" s="33"/>
      <c r="J19" s="21">
        <f t="shared" si="1"/>
        <v>0</v>
      </c>
      <c r="K19" s="24" t="e">
        <f t="shared" si="2"/>
        <v>#DIV/0!</v>
      </c>
      <c r="L19" s="70" t="e">
        <f t="shared" si="3"/>
        <v>#DIV/0!</v>
      </c>
      <c r="M19" s="75" t="e">
        <f t="shared" si="4"/>
        <v>#DIV/0!</v>
      </c>
      <c r="N19" s="1"/>
      <c r="O19" s="28"/>
      <c r="P19" s="19" t="s">
        <v>39</v>
      </c>
      <c r="Q19" s="31">
        <f t="shared" si="5"/>
        <v>-2</v>
      </c>
      <c r="R19" s="38"/>
      <c r="AO19" s="105">
        <f>Мастерская!J97</f>
        <v>0</v>
      </c>
      <c r="AP19" s="106">
        <f>Мастерская!J98</f>
        <v>0</v>
      </c>
      <c r="AQ19" s="106">
        <f>Мастерская!J99</f>
        <v>0</v>
      </c>
      <c r="AR19" s="106">
        <f>Мастерская!J100</f>
        <v>0</v>
      </c>
      <c r="AS19" s="106">
        <f>Мастерская!J101</f>
        <v>0</v>
      </c>
      <c r="AT19" s="106">
        <f>Мастерская!J102</f>
        <v>0</v>
      </c>
      <c r="AU19" s="106">
        <f>Мастерская!J103</f>
        <v>0</v>
      </c>
      <c r="AV19" s="107">
        <f>Мастерская!J104</f>
        <v>0</v>
      </c>
    </row>
    <row r="20" spans="1:48" ht="15" thickBot="1" x14ac:dyDescent="0.35">
      <c r="A20" s="50"/>
      <c r="B20" s="51"/>
      <c r="D20" s="119"/>
      <c r="E20" s="115" t="s">
        <v>16</v>
      </c>
      <c r="F20" s="23"/>
      <c r="G20" s="23"/>
      <c r="H20" s="24" t="e">
        <f t="shared" si="0"/>
        <v>#DIV/0!</v>
      </c>
      <c r="I20" s="33"/>
      <c r="J20" s="21">
        <f t="shared" si="1"/>
        <v>0</v>
      </c>
      <c r="K20" s="24" t="e">
        <f t="shared" si="2"/>
        <v>#DIV/0!</v>
      </c>
      <c r="L20" s="70" t="e">
        <f t="shared" si="3"/>
        <v>#DIV/0!</v>
      </c>
      <c r="M20" s="75" t="e">
        <f t="shared" si="4"/>
        <v>#DIV/0!</v>
      </c>
      <c r="N20" s="1"/>
      <c r="O20" s="28"/>
      <c r="P20" s="19" t="s">
        <v>39</v>
      </c>
      <c r="Q20" s="30">
        <f t="shared" si="5"/>
        <v>-2</v>
      </c>
      <c r="R20" s="38"/>
    </row>
    <row r="21" spans="1:48" ht="15.6" thickTop="1" thickBot="1" x14ac:dyDescent="0.35">
      <c r="A21" s="50"/>
      <c r="B21" s="51"/>
      <c r="D21" s="119"/>
      <c r="E21" s="115" t="s">
        <v>16</v>
      </c>
      <c r="F21" s="23"/>
      <c r="G21" s="23"/>
      <c r="H21" s="24" t="e">
        <f t="shared" si="0"/>
        <v>#DIV/0!</v>
      </c>
      <c r="I21" s="33"/>
      <c r="J21" s="21">
        <f t="shared" si="1"/>
        <v>0</v>
      </c>
      <c r="K21" s="24" t="e">
        <f t="shared" si="2"/>
        <v>#DIV/0!</v>
      </c>
      <c r="L21" s="70" t="e">
        <f t="shared" si="3"/>
        <v>#DIV/0!</v>
      </c>
      <c r="M21" s="75" t="e">
        <f t="shared" si="4"/>
        <v>#DIV/0!</v>
      </c>
      <c r="N21" s="1"/>
      <c r="O21" s="28"/>
      <c r="P21" s="19" t="s">
        <v>39</v>
      </c>
      <c r="Q21" s="31">
        <f t="shared" si="5"/>
        <v>-2</v>
      </c>
      <c r="R21" s="38"/>
      <c r="AO21" s="170" t="s">
        <v>202</v>
      </c>
      <c r="AP21" s="171"/>
      <c r="AQ21" s="171"/>
      <c r="AR21" s="171"/>
      <c r="AS21" s="172"/>
    </row>
    <row r="22" spans="1:48" ht="16.5" customHeight="1" thickTop="1" x14ac:dyDescent="0.3">
      <c r="A22" s="50"/>
      <c r="B22" s="51"/>
      <c r="D22" s="119"/>
      <c r="E22" s="115" t="s">
        <v>16</v>
      </c>
      <c r="F22" s="23"/>
      <c r="G22" s="23"/>
      <c r="H22" s="24" t="e">
        <f t="shared" si="0"/>
        <v>#DIV/0!</v>
      </c>
      <c r="I22" s="33"/>
      <c r="J22" s="21">
        <f t="shared" si="1"/>
        <v>0</v>
      </c>
      <c r="K22" s="24" t="e">
        <f t="shared" si="2"/>
        <v>#DIV/0!</v>
      </c>
      <c r="L22" s="70" t="e">
        <f t="shared" si="3"/>
        <v>#DIV/0!</v>
      </c>
      <c r="M22" s="75" t="e">
        <f t="shared" si="4"/>
        <v>#DIV/0!</v>
      </c>
      <c r="N22" s="1"/>
      <c r="O22" s="28"/>
      <c r="P22" s="19" t="s">
        <v>39</v>
      </c>
      <c r="Q22" s="30">
        <f t="shared" si="5"/>
        <v>-2</v>
      </c>
      <c r="R22" s="38"/>
      <c r="T22" s="42"/>
      <c r="U22" s="42"/>
      <c r="V22" s="42"/>
      <c r="W22" s="42"/>
      <c r="X22" s="42"/>
      <c r="Y22" s="42"/>
      <c r="Z22" s="42"/>
      <c r="AA22" s="42"/>
      <c r="AB22" s="42"/>
      <c r="AO22" s="113" t="s">
        <v>180</v>
      </c>
      <c r="AP22" s="96" t="s">
        <v>181</v>
      </c>
      <c r="AQ22" s="96" t="s">
        <v>182</v>
      </c>
      <c r="AR22" s="112" t="s">
        <v>183</v>
      </c>
      <c r="AS22" s="91" t="s">
        <v>184</v>
      </c>
    </row>
    <row r="23" spans="1:48" ht="15.75" customHeight="1" thickBot="1" x14ac:dyDescent="0.35">
      <c r="A23" s="50"/>
      <c r="B23" s="51"/>
      <c r="D23" s="119"/>
      <c r="E23" s="115" t="s">
        <v>16</v>
      </c>
      <c r="F23" s="23"/>
      <c r="G23" s="23"/>
      <c r="H23" s="24" t="e">
        <f t="shared" si="0"/>
        <v>#DIV/0!</v>
      </c>
      <c r="I23" s="33"/>
      <c r="J23" s="21">
        <f t="shared" si="1"/>
        <v>0</v>
      </c>
      <c r="K23" s="24" t="e">
        <f t="shared" si="2"/>
        <v>#DIV/0!</v>
      </c>
      <c r="L23" s="70" t="e">
        <f t="shared" si="3"/>
        <v>#DIV/0!</v>
      </c>
      <c r="M23" s="75" t="e">
        <f t="shared" si="4"/>
        <v>#DIV/0!</v>
      </c>
      <c r="N23" s="1"/>
      <c r="O23" s="28"/>
      <c r="P23" s="19" t="s">
        <v>39</v>
      </c>
      <c r="Q23" s="31">
        <f t="shared" si="5"/>
        <v>-2</v>
      </c>
      <c r="R23" s="38"/>
      <c r="T23" s="42"/>
      <c r="U23" s="42"/>
      <c r="V23" s="42"/>
      <c r="W23" s="42"/>
      <c r="X23" s="42"/>
      <c r="Y23" s="42"/>
      <c r="Z23" s="42"/>
      <c r="AA23" s="42"/>
      <c r="AO23" s="93">
        <f>COUNTIF(D2:D1048576, "Победитель")</f>
        <v>0</v>
      </c>
      <c r="AP23" s="95">
        <f>COUNTIF(D2:D1048576, "Ничья")</f>
        <v>0</v>
      </c>
      <c r="AQ23" s="95">
        <f>COUNTIF(D2:D1048576, "Двойной шанс")</f>
        <v>0</v>
      </c>
      <c r="AR23" s="95">
        <f>COUNTIF(D2:D1048576, "Победитель (при ничьей - возврат)")</f>
        <v>0</v>
      </c>
      <c r="AS23" s="97">
        <f>COUNTIF(D2:D1048576, "Фора")</f>
        <v>0</v>
      </c>
    </row>
    <row r="24" spans="1:48" ht="15" customHeight="1" thickTop="1" thickBot="1" x14ac:dyDescent="0.35">
      <c r="A24" s="50"/>
      <c r="B24" s="51"/>
      <c r="D24" s="119"/>
      <c r="E24" s="115" t="s">
        <v>16</v>
      </c>
      <c r="F24" s="23"/>
      <c r="G24" s="23"/>
      <c r="H24" s="24" t="e">
        <f t="shared" si="0"/>
        <v>#DIV/0!</v>
      </c>
      <c r="I24" s="33"/>
      <c r="J24" s="21">
        <f t="shared" si="1"/>
        <v>0</v>
      </c>
      <c r="K24" s="24" t="e">
        <f t="shared" si="2"/>
        <v>#DIV/0!</v>
      </c>
      <c r="L24" s="70" t="e">
        <f t="shared" si="3"/>
        <v>#DIV/0!</v>
      </c>
      <c r="M24" s="75" t="e">
        <f t="shared" si="4"/>
        <v>#DIV/0!</v>
      </c>
      <c r="N24" s="1"/>
      <c r="O24" s="28"/>
      <c r="P24" s="19" t="s">
        <v>39</v>
      </c>
      <c r="Q24" s="30">
        <f t="shared" si="5"/>
        <v>-2</v>
      </c>
      <c r="R24" s="38"/>
      <c r="T24" s="42"/>
      <c r="U24" s="42"/>
      <c r="V24" s="42"/>
      <c r="W24" s="42"/>
      <c r="X24" s="42"/>
      <c r="Y24" s="42"/>
      <c r="Z24" s="42"/>
      <c r="AA24" s="42"/>
      <c r="AB24" s="42"/>
      <c r="AO24" s="92" t="s">
        <v>185</v>
      </c>
      <c r="AP24" s="94" t="s">
        <v>186</v>
      </c>
      <c r="AQ24" s="120" t="s">
        <v>187</v>
      </c>
      <c r="AR24" s="94" t="s">
        <v>189</v>
      </c>
      <c r="AS24" s="98" t="s">
        <v>190</v>
      </c>
    </row>
    <row r="25" spans="1:48" ht="15" customHeight="1" thickTop="1" thickBot="1" x14ac:dyDescent="0.35">
      <c r="A25" s="53"/>
      <c r="B25" s="54"/>
      <c r="D25" s="119"/>
      <c r="E25" s="115" t="s">
        <v>16</v>
      </c>
      <c r="F25" s="23"/>
      <c r="G25" s="23"/>
      <c r="H25" s="24" t="e">
        <f t="shared" si="0"/>
        <v>#DIV/0!</v>
      </c>
      <c r="I25" s="33"/>
      <c r="J25" s="21">
        <f t="shared" si="1"/>
        <v>0</v>
      </c>
      <c r="K25" s="24" t="e">
        <f t="shared" si="2"/>
        <v>#DIV/0!</v>
      </c>
      <c r="L25" s="70" t="e">
        <f t="shared" si="3"/>
        <v>#DIV/0!</v>
      </c>
      <c r="M25" s="75" t="e">
        <f t="shared" si="4"/>
        <v>#DIV/0!</v>
      </c>
      <c r="N25" s="1"/>
      <c r="O25" s="28"/>
      <c r="P25" s="19" t="s">
        <v>39</v>
      </c>
      <c r="Q25" s="31">
        <f t="shared" si="5"/>
        <v>-2</v>
      </c>
      <c r="R25" s="38"/>
      <c r="U25" s="59"/>
      <c r="W25" s="60"/>
      <c r="AL25" s="80" t="s">
        <v>242</v>
      </c>
      <c r="AM25" s="12" t="s">
        <v>243</v>
      </c>
      <c r="AO25" s="93">
        <f>COUNTIF(D2:D1048576, "Тотал")</f>
        <v>0</v>
      </c>
      <c r="AP25" s="95">
        <f>COUNTIF(D2:D1048576, "Точный счёт")</f>
        <v>0</v>
      </c>
      <c r="AQ25" s="95">
        <f>COUNTIF(D2:D1048576,"Точный счёт + исход ""Другой""")</f>
        <v>0</v>
      </c>
      <c r="AR25" s="95">
        <f>COUNTIF(D2:D1048576, "Кол-во голов")</f>
        <v>0</v>
      </c>
      <c r="AS25" s="97">
        <f>COUNTIF(D2:D1048576, "Инд. Тотал")</f>
        <v>0</v>
      </c>
    </row>
    <row r="26" spans="1:48" ht="15.75" customHeight="1" thickTop="1" thickBot="1" x14ac:dyDescent="0.35">
      <c r="A26" s="50"/>
      <c r="B26" s="51"/>
      <c r="D26" s="119"/>
      <c r="E26" s="115" t="s">
        <v>16</v>
      </c>
      <c r="F26" s="25"/>
      <c r="G26" s="25"/>
      <c r="H26" s="26" t="e">
        <f>(F26*100)/G26</f>
        <v>#DIV/0!</v>
      </c>
      <c r="I26" s="36"/>
      <c r="J26" s="21">
        <f t="shared" si="1"/>
        <v>0</v>
      </c>
      <c r="K26" s="26" t="e">
        <f t="shared" si="2"/>
        <v>#DIV/0!</v>
      </c>
      <c r="L26" s="72" t="e">
        <f t="shared" si="3"/>
        <v>#DIV/0!</v>
      </c>
      <c r="M26" s="77" t="e">
        <f t="shared" si="4"/>
        <v>#DIV/0!</v>
      </c>
      <c r="N26" s="4"/>
      <c r="O26" s="28"/>
      <c r="P26" s="19" t="s">
        <v>39</v>
      </c>
      <c r="Q26" s="30">
        <f t="shared" si="5"/>
        <v>-2</v>
      </c>
      <c r="R26" s="38"/>
      <c r="AL26" s="139">
        <f>SUM(A2:A71)</f>
        <v>0</v>
      </c>
      <c r="AM26" s="140">
        <f>SUM(B2:B71)</f>
        <v>0</v>
      </c>
      <c r="AO26" s="92" t="s">
        <v>191</v>
      </c>
      <c r="AP26" s="94" t="s">
        <v>192</v>
      </c>
      <c r="AQ26" s="94" t="s">
        <v>193</v>
      </c>
      <c r="AR26" s="94" t="s">
        <v>194</v>
      </c>
      <c r="AS26" s="98" t="s">
        <v>195</v>
      </c>
    </row>
    <row r="27" spans="1:48" ht="15.75" customHeight="1" thickTop="1" thickBot="1" x14ac:dyDescent="0.35">
      <c r="A27" s="50"/>
      <c r="B27" s="51"/>
      <c r="D27" s="119"/>
      <c r="E27" s="115" t="s">
        <v>16</v>
      </c>
      <c r="F27" s="23"/>
      <c r="G27" s="23"/>
      <c r="H27" s="24" t="e">
        <f t="shared" ref="H27:H71" si="6">(F27*100)/G27</f>
        <v>#DIV/0!</v>
      </c>
      <c r="I27" s="33"/>
      <c r="J27" s="21">
        <f t="shared" si="1"/>
        <v>0</v>
      </c>
      <c r="K27" s="24" t="e">
        <f t="shared" si="2"/>
        <v>#DIV/0!</v>
      </c>
      <c r="L27" s="70" t="e">
        <f t="shared" si="3"/>
        <v>#DIV/0!</v>
      </c>
      <c r="M27" s="75" t="e">
        <f t="shared" si="4"/>
        <v>#DIV/0!</v>
      </c>
      <c r="N27" s="1"/>
      <c r="O27" s="28"/>
      <c r="P27" s="19" t="s">
        <v>39</v>
      </c>
      <c r="Q27" s="31">
        <f t="shared" si="5"/>
        <v>-2</v>
      </c>
      <c r="R27" s="38"/>
      <c r="AL27" s="196" t="s">
        <v>244</v>
      </c>
      <c r="AM27" s="197"/>
      <c r="AO27" s="93">
        <f>COUNTIF(D2:D1048576, "Обе команды забьют")</f>
        <v>0</v>
      </c>
      <c r="AP27" s="95">
        <f>COUNTIF(D2:D1048576, "Сколько команд забьёт")</f>
        <v>0</v>
      </c>
      <c r="AQ27" s="95">
        <f>COUNTIF(D2:D1048576, "Кто забьёт 1-й гол")</f>
        <v>0</v>
      </c>
      <c r="AR27" s="95">
        <f>COUNTIF(D2:D1048576, "Кто забьёт последний гол")</f>
        <v>0</v>
      </c>
      <c r="AS27" s="97">
        <f>COUNTIF(D2:D1048576, "Наиболее результативный тайм")</f>
        <v>0</v>
      </c>
    </row>
    <row r="28" spans="1:48" ht="15.75" customHeight="1" thickTop="1" thickBot="1" x14ac:dyDescent="0.35">
      <c r="A28" s="50"/>
      <c r="B28" s="51"/>
      <c r="D28" s="119"/>
      <c r="E28" s="115" t="s">
        <v>16</v>
      </c>
      <c r="F28" s="23"/>
      <c r="G28" s="23"/>
      <c r="H28" s="24" t="e">
        <f t="shared" si="6"/>
        <v>#DIV/0!</v>
      </c>
      <c r="I28" s="33"/>
      <c r="J28" s="21">
        <f t="shared" si="1"/>
        <v>0</v>
      </c>
      <c r="K28" s="24" t="e">
        <f t="shared" si="2"/>
        <v>#DIV/0!</v>
      </c>
      <c r="L28" s="70" t="e">
        <f t="shared" si="3"/>
        <v>#DIV/0!</v>
      </c>
      <c r="M28" s="75" t="e">
        <f t="shared" si="4"/>
        <v>#DIV/0!</v>
      </c>
      <c r="N28" s="1"/>
      <c r="O28" s="28"/>
      <c r="P28" s="19" t="s">
        <v>39</v>
      </c>
      <c r="Q28" s="30">
        <f t="shared" si="5"/>
        <v>-2</v>
      </c>
      <c r="R28" s="38"/>
      <c r="AL28" s="198">
        <f>(AM26-AL26)</f>
        <v>0</v>
      </c>
      <c r="AM28" s="199"/>
      <c r="AO28" s="92" t="s">
        <v>196</v>
      </c>
      <c r="AP28" s="94" t="s">
        <v>197</v>
      </c>
      <c r="AQ28" s="94" t="s">
        <v>198</v>
      </c>
      <c r="AR28" s="94" t="s">
        <v>203</v>
      </c>
      <c r="AS28" s="98" t="s">
        <v>199</v>
      </c>
    </row>
    <row r="29" spans="1:48" ht="15.75" customHeight="1" thickBot="1" x14ac:dyDescent="0.35">
      <c r="A29" s="50"/>
      <c r="B29" s="51"/>
      <c r="D29" s="119"/>
      <c r="E29" s="115" t="s">
        <v>16</v>
      </c>
      <c r="F29" s="23"/>
      <c r="G29" s="23"/>
      <c r="H29" s="24" t="e">
        <f t="shared" si="6"/>
        <v>#DIV/0!</v>
      </c>
      <c r="I29" s="33"/>
      <c r="J29" s="21">
        <f t="shared" si="1"/>
        <v>0</v>
      </c>
      <c r="K29" s="24" t="e">
        <f t="shared" si="2"/>
        <v>#DIV/0!</v>
      </c>
      <c r="L29" s="70" t="e">
        <f t="shared" si="3"/>
        <v>#DIV/0!</v>
      </c>
      <c r="M29" s="75" t="e">
        <f t="shared" si="4"/>
        <v>#DIV/0!</v>
      </c>
      <c r="N29" s="1"/>
      <c r="O29" s="28"/>
      <c r="P29" s="19" t="s">
        <v>39</v>
      </c>
      <c r="Q29" s="31">
        <f t="shared" si="5"/>
        <v>-2</v>
      </c>
      <c r="R29" s="38"/>
      <c r="AO29" s="93">
        <f>COUNTIF(D2:D1048576, "Чет/нечет")</f>
        <v>0</v>
      </c>
      <c r="AP29" s="95">
        <f>COUNTIF(D2:D1048576, "Победитель + Разница мячей")</f>
        <v>0</v>
      </c>
      <c r="AQ29" s="95">
        <f>COUNTIF(D2:D1048576, "Победитель + Обе забьют")</f>
        <v>0</v>
      </c>
      <c r="AR29" s="95">
        <f>COUNTIF(D2:D1048576, "Победитель + Тотал")</f>
        <v>0</v>
      </c>
      <c r="AS29" s="97">
        <f>COUNTIF(D2:D1048576, "Автор гола")</f>
        <v>0</v>
      </c>
    </row>
    <row r="30" spans="1:48" ht="15.75" customHeight="1" thickTop="1" x14ac:dyDescent="0.3">
      <c r="A30" s="50"/>
      <c r="B30" s="51"/>
      <c r="D30" s="119"/>
      <c r="E30" s="115" t="s">
        <v>16</v>
      </c>
      <c r="F30" s="23"/>
      <c r="G30" s="23"/>
      <c r="H30" s="24" t="e">
        <f t="shared" si="6"/>
        <v>#DIV/0!</v>
      </c>
      <c r="I30" s="33"/>
      <c r="J30" s="21">
        <f t="shared" si="1"/>
        <v>0</v>
      </c>
      <c r="K30" s="24" t="e">
        <f t="shared" si="2"/>
        <v>#DIV/0!</v>
      </c>
      <c r="L30" s="70" t="e">
        <f t="shared" si="3"/>
        <v>#DIV/0!</v>
      </c>
      <c r="M30" s="75" t="e">
        <f t="shared" si="4"/>
        <v>#DIV/0!</v>
      </c>
      <c r="N30" s="1"/>
      <c r="O30" s="28"/>
      <c r="P30" s="19" t="s">
        <v>39</v>
      </c>
      <c r="Q30" s="30">
        <f t="shared" si="5"/>
        <v>-2</v>
      </c>
      <c r="R30" s="38"/>
      <c r="AO30" s="92" t="s">
        <v>200</v>
      </c>
      <c r="AP30" s="94" t="s">
        <v>201</v>
      </c>
      <c r="AQ30" s="94"/>
      <c r="AR30" s="94"/>
      <c r="AS30" s="98"/>
    </row>
    <row r="31" spans="1:48" ht="15.75" customHeight="1" thickBot="1" x14ac:dyDescent="0.35">
      <c r="A31" s="50"/>
      <c r="B31" s="54"/>
      <c r="D31" s="119"/>
      <c r="E31" s="115" t="s">
        <v>16</v>
      </c>
      <c r="F31" s="23"/>
      <c r="G31" s="23"/>
      <c r="H31" s="24" t="e">
        <f t="shared" si="6"/>
        <v>#DIV/0!</v>
      </c>
      <c r="I31" s="33"/>
      <c r="J31" s="21">
        <f t="shared" si="1"/>
        <v>0</v>
      </c>
      <c r="K31" s="24" t="e">
        <f t="shared" si="2"/>
        <v>#DIV/0!</v>
      </c>
      <c r="L31" s="70" t="e">
        <f t="shared" si="3"/>
        <v>#DIV/0!</v>
      </c>
      <c r="M31" s="75" t="e">
        <f t="shared" si="4"/>
        <v>#DIV/0!</v>
      </c>
      <c r="N31" s="1"/>
      <c r="O31" s="28"/>
      <c r="P31" s="19" t="s">
        <v>39</v>
      </c>
      <c r="Q31" s="31">
        <f t="shared" si="5"/>
        <v>-2</v>
      </c>
      <c r="R31" s="38"/>
      <c r="AO31" s="121">
        <f>COUNTIF(D2:D1048576, "Лучший бомбардир")</f>
        <v>0</v>
      </c>
      <c r="AP31" s="122">
        <f>COUNTIF(D2:D1048576, "Победитель турнира")</f>
        <v>0</v>
      </c>
      <c r="AQ31" s="122"/>
      <c r="AR31" s="122"/>
      <c r="AS31" s="123"/>
    </row>
    <row r="32" spans="1:48" ht="15.75" customHeight="1" x14ac:dyDescent="0.3">
      <c r="A32" s="55"/>
      <c r="B32" s="51"/>
      <c r="D32" s="119"/>
      <c r="E32" s="115" t="s">
        <v>16</v>
      </c>
      <c r="F32" s="23"/>
      <c r="G32" s="23"/>
      <c r="H32" s="24" t="e">
        <f t="shared" si="6"/>
        <v>#DIV/0!</v>
      </c>
      <c r="I32" s="33"/>
      <c r="J32" s="21">
        <f t="shared" si="1"/>
        <v>0</v>
      </c>
      <c r="K32" s="24" t="e">
        <f t="shared" si="2"/>
        <v>#DIV/0!</v>
      </c>
      <c r="L32" s="70" t="e">
        <f t="shared" si="3"/>
        <v>#DIV/0!</v>
      </c>
      <c r="M32" s="75" t="e">
        <f t="shared" si="4"/>
        <v>#DIV/0!</v>
      </c>
      <c r="N32" s="1"/>
      <c r="O32" s="28"/>
      <c r="P32" s="19" t="s">
        <v>39</v>
      </c>
      <c r="Q32" s="30">
        <f t="shared" si="5"/>
        <v>-2</v>
      </c>
      <c r="R32" s="38"/>
    </row>
    <row r="33" spans="1:18" ht="15" customHeight="1" x14ac:dyDescent="0.3">
      <c r="A33" s="50"/>
      <c r="B33" s="49"/>
      <c r="D33" s="119"/>
      <c r="E33" s="115" t="s">
        <v>16</v>
      </c>
      <c r="F33" s="23"/>
      <c r="G33" s="23"/>
      <c r="H33" s="24" t="e">
        <f t="shared" si="6"/>
        <v>#DIV/0!</v>
      </c>
      <c r="I33" s="33"/>
      <c r="J33" s="21">
        <f t="shared" si="1"/>
        <v>0</v>
      </c>
      <c r="K33" s="24" t="e">
        <f t="shared" si="2"/>
        <v>#DIV/0!</v>
      </c>
      <c r="L33" s="70" t="e">
        <f t="shared" si="3"/>
        <v>#DIV/0!</v>
      </c>
      <c r="M33" s="75" t="e">
        <f t="shared" si="4"/>
        <v>#DIV/0!</v>
      </c>
      <c r="N33" s="1"/>
      <c r="O33" s="28"/>
      <c r="P33" s="19" t="s">
        <v>39</v>
      </c>
      <c r="Q33" s="30">
        <f t="shared" si="5"/>
        <v>-2</v>
      </c>
      <c r="R33" s="38"/>
    </row>
    <row r="34" spans="1:18" ht="15" customHeight="1" x14ac:dyDescent="0.3">
      <c r="A34" s="50"/>
      <c r="B34" s="51"/>
      <c r="D34" s="119"/>
      <c r="E34" s="115" t="s">
        <v>16</v>
      </c>
      <c r="F34" s="23"/>
      <c r="G34" s="23"/>
      <c r="H34" s="24" t="e">
        <f t="shared" si="6"/>
        <v>#DIV/0!</v>
      </c>
      <c r="I34" s="33"/>
      <c r="J34" s="21">
        <f t="shared" si="1"/>
        <v>0</v>
      </c>
      <c r="K34" s="24" t="e">
        <f t="shared" si="2"/>
        <v>#DIV/0!</v>
      </c>
      <c r="L34" s="70" t="e">
        <f t="shared" si="3"/>
        <v>#DIV/0!</v>
      </c>
      <c r="M34" s="75" t="e">
        <f t="shared" si="4"/>
        <v>#DIV/0!</v>
      </c>
      <c r="N34" s="1"/>
      <c r="O34" s="28"/>
      <c r="P34" s="19" t="s">
        <v>39</v>
      </c>
      <c r="Q34" s="30">
        <f t="shared" si="5"/>
        <v>-2</v>
      </c>
      <c r="R34" s="38"/>
    </row>
    <row r="35" spans="1:18" ht="15" customHeight="1" x14ac:dyDescent="0.3">
      <c r="A35" s="50"/>
      <c r="B35" s="51"/>
      <c r="D35" s="119"/>
      <c r="E35" s="115" t="s">
        <v>16</v>
      </c>
      <c r="F35" s="23"/>
      <c r="G35" s="23"/>
      <c r="H35" s="24" t="e">
        <f t="shared" si="6"/>
        <v>#DIV/0!</v>
      </c>
      <c r="I35" s="33"/>
      <c r="J35" s="21">
        <f t="shared" si="1"/>
        <v>0</v>
      </c>
      <c r="K35" s="24" t="e">
        <f t="shared" si="2"/>
        <v>#DIV/0!</v>
      </c>
      <c r="L35" s="70" t="e">
        <f t="shared" si="3"/>
        <v>#DIV/0!</v>
      </c>
      <c r="M35" s="75" t="e">
        <f t="shared" si="4"/>
        <v>#DIV/0!</v>
      </c>
      <c r="N35" s="1"/>
      <c r="O35" s="28"/>
      <c r="P35" s="19" t="s">
        <v>39</v>
      </c>
      <c r="Q35" s="30">
        <f t="shared" si="5"/>
        <v>-2</v>
      </c>
      <c r="R35" s="38"/>
    </row>
    <row r="36" spans="1:18" ht="15" customHeight="1" x14ac:dyDescent="0.3">
      <c r="A36" s="50"/>
      <c r="B36" s="51"/>
      <c r="D36" s="119"/>
      <c r="E36" s="115" t="s">
        <v>16</v>
      </c>
      <c r="F36" s="23"/>
      <c r="G36" s="23"/>
      <c r="H36" s="24" t="e">
        <f t="shared" si="6"/>
        <v>#DIV/0!</v>
      </c>
      <c r="I36" s="33"/>
      <c r="J36" s="21">
        <f t="shared" si="1"/>
        <v>0</v>
      </c>
      <c r="K36" s="24" t="e">
        <f t="shared" si="2"/>
        <v>#DIV/0!</v>
      </c>
      <c r="L36" s="70" t="e">
        <f t="shared" si="3"/>
        <v>#DIV/0!</v>
      </c>
      <c r="M36" s="75" t="e">
        <f t="shared" si="4"/>
        <v>#DIV/0!</v>
      </c>
      <c r="N36" s="1"/>
      <c r="O36" s="28"/>
      <c r="P36" s="19" t="s">
        <v>39</v>
      </c>
      <c r="Q36" s="30">
        <f t="shared" si="5"/>
        <v>-2</v>
      </c>
      <c r="R36" s="38"/>
    </row>
    <row r="37" spans="1:18" ht="15" customHeight="1" x14ac:dyDescent="0.3">
      <c r="A37" s="50"/>
      <c r="B37" s="51"/>
      <c r="D37" s="119"/>
      <c r="E37" s="115" t="s">
        <v>16</v>
      </c>
      <c r="F37" s="23"/>
      <c r="G37" s="23"/>
      <c r="H37" s="24" t="e">
        <f t="shared" si="6"/>
        <v>#DIV/0!</v>
      </c>
      <c r="I37" s="33"/>
      <c r="J37" s="21">
        <f t="shared" si="1"/>
        <v>0</v>
      </c>
      <c r="K37" s="24" t="e">
        <f t="shared" si="2"/>
        <v>#DIV/0!</v>
      </c>
      <c r="L37" s="70" t="e">
        <f t="shared" si="3"/>
        <v>#DIV/0!</v>
      </c>
      <c r="M37" s="75" t="e">
        <f t="shared" si="4"/>
        <v>#DIV/0!</v>
      </c>
      <c r="N37" s="1"/>
      <c r="O37" s="28"/>
      <c r="P37" s="19" t="s">
        <v>39</v>
      </c>
      <c r="Q37" s="30">
        <f t="shared" si="5"/>
        <v>-2</v>
      </c>
      <c r="R37" s="38"/>
    </row>
    <row r="38" spans="1:18" ht="15" customHeight="1" x14ac:dyDescent="0.3">
      <c r="A38" s="50"/>
      <c r="B38" s="51"/>
      <c r="D38" s="119"/>
      <c r="E38" s="115" t="s">
        <v>16</v>
      </c>
      <c r="F38" s="23"/>
      <c r="G38" s="23"/>
      <c r="H38" s="24" t="e">
        <f t="shared" si="6"/>
        <v>#DIV/0!</v>
      </c>
      <c r="I38" s="33"/>
      <c r="J38" s="21">
        <f t="shared" si="1"/>
        <v>0</v>
      </c>
      <c r="K38" s="24" t="e">
        <f t="shared" si="2"/>
        <v>#DIV/0!</v>
      </c>
      <c r="L38" s="70" t="e">
        <f t="shared" si="3"/>
        <v>#DIV/0!</v>
      </c>
      <c r="M38" s="75" t="e">
        <f t="shared" si="4"/>
        <v>#DIV/0!</v>
      </c>
      <c r="N38" s="1"/>
      <c r="O38" s="28"/>
      <c r="P38" s="19" t="s">
        <v>39</v>
      </c>
      <c r="Q38" s="30">
        <f t="shared" si="5"/>
        <v>-2</v>
      </c>
      <c r="R38" s="38"/>
    </row>
    <row r="39" spans="1:18" ht="15" customHeight="1" x14ac:dyDescent="0.3">
      <c r="A39" s="50"/>
      <c r="B39" s="51"/>
      <c r="D39" s="119"/>
      <c r="E39" s="115" t="s">
        <v>16</v>
      </c>
      <c r="F39" s="23"/>
      <c r="G39" s="23"/>
      <c r="H39" s="24" t="e">
        <f t="shared" si="6"/>
        <v>#DIV/0!</v>
      </c>
      <c r="I39" s="33"/>
      <c r="J39" s="21">
        <f t="shared" si="1"/>
        <v>0</v>
      </c>
      <c r="K39" s="24" t="e">
        <f t="shared" si="2"/>
        <v>#DIV/0!</v>
      </c>
      <c r="L39" s="70" t="e">
        <f t="shared" si="3"/>
        <v>#DIV/0!</v>
      </c>
      <c r="M39" s="75" t="e">
        <f t="shared" si="4"/>
        <v>#DIV/0!</v>
      </c>
      <c r="N39" s="1"/>
      <c r="O39" s="28"/>
      <c r="P39" s="19" t="s">
        <v>39</v>
      </c>
      <c r="Q39" s="30">
        <f t="shared" si="5"/>
        <v>-2</v>
      </c>
      <c r="R39" s="38"/>
    </row>
    <row r="40" spans="1:18" ht="15" customHeight="1" x14ac:dyDescent="0.3">
      <c r="A40" s="50"/>
      <c r="B40" s="51"/>
      <c r="D40" s="119"/>
      <c r="E40" s="115" t="s">
        <v>16</v>
      </c>
      <c r="F40" s="23"/>
      <c r="G40" s="23"/>
      <c r="H40" s="24" t="e">
        <f t="shared" si="6"/>
        <v>#DIV/0!</v>
      </c>
      <c r="I40" s="33"/>
      <c r="J40" s="21">
        <f t="shared" si="1"/>
        <v>0</v>
      </c>
      <c r="K40" s="24" t="e">
        <f t="shared" si="2"/>
        <v>#DIV/0!</v>
      </c>
      <c r="L40" s="70" t="e">
        <f t="shared" si="3"/>
        <v>#DIV/0!</v>
      </c>
      <c r="M40" s="75" t="e">
        <f t="shared" si="4"/>
        <v>#DIV/0!</v>
      </c>
      <c r="N40" s="1"/>
      <c r="O40" s="28"/>
      <c r="P40" s="19" t="s">
        <v>39</v>
      </c>
      <c r="Q40" s="30">
        <f t="shared" si="5"/>
        <v>-2</v>
      </c>
      <c r="R40" s="38"/>
    </row>
    <row r="41" spans="1:18" ht="15" customHeight="1" x14ac:dyDescent="0.3">
      <c r="A41" s="50"/>
      <c r="B41" s="51"/>
      <c r="D41" s="119"/>
      <c r="E41" s="115" t="s">
        <v>16</v>
      </c>
      <c r="F41" s="23"/>
      <c r="G41" s="23"/>
      <c r="H41" s="24" t="e">
        <f t="shared" si="6"/>
        <v>#DIV/0!</v>
      </c>
      <c r="I41" s="33"/>
      <c r="J41" s="21">
        <f t="shared" si="1"/>
        <v>0</v>
      </c>
      <c r="K41" s="24" t="e">
        <f t="shared" si="2"/>
        <v>#DIV/0!</v>
      </c>
      <c r="L41" s="70" t="e">
        <f t="shared" si="3"/>
        <v>#DIV/0!</v>
      </c>
      <c r="M41" s="75" t="e">
        <f t="shared" si="4"/>
        <v>#DIV/0!</v>
      </c>
      <c r="N41" s="1"/>
      <c r="O41" s="28"/>
      <c r="P41" s="19" t="s">
        <v>39</v>
      </c>
      <c r="Q41" s="30">
        <f t="shared" si="5"/>
        <v>-2</v>
      </c>
      <c r="R41" s="38"/>
    </row>
    <row r="42" spans="1:18" ht="15" customHeight="1" x14ac:dyDescent="0.3">
      <c r="A42" s="50"/>
      <c r="B42" s="51"/>
      <c r="D42" s="119"/>
      <c r="E42" s="115" t="s">
        <v>16</v>
      </c>
      <c r="F42" s="23"/>
      <c r="G42" s="23"/>
      <c r="H42" s="24" t="e">
        <f t="shared" si="6"/>
        <v>#DIV/0!</v>
      </c>
      <c r="I42" s="33"/>
      <c r="J42" s="21">
        <f t="shared" si="1"/>
        <v>0</v>
      </c>
      <c r="K42" s="24" t="e">
        <f t="shared" si="2"/>
        <v>#DIV/0!</v>
      </c>
      <c r="L42" s="70" t="e">
        <f t="shared" si="3"/>
        <v>#DIV/0!</v>
      </c>
      <c r="M42" s="75" t="e">
        <f t="shared" si="4"/>
        <v>#DIV/0!</v>
      </c>
      <c r="N42" s="1"/>
      <c r="O42" s="28"/>
      <c r="P42" s="19" t="s">
        <v>39</v>
      </c>
      <c r="Q42" s="30">
        <f t="shared" si="5"/>
        <v>-2</v>
      </c>
      <c r="R42" s="38"/>
    </row>
    <row r="43" spans="1:18" ht="15" customHeight="1" x14ac:dyDescent="0.3">
      <c r="A43" s="50"/>
      <c r="B43" s="51"/>
      <c r="D43" s="119"/>
      <c r="E43" s="115" t="s">
        <v>16</v>
      </c>
      <c r="F43" s="23"/>
      <c r="G43" s="23"/>
      <c r="H43" s="24" t="e">
        <f t="shared" si="6"/>
        <v>#DIV/0!</v>
      </c>
      <c r="I43" s="33"/>
      <c r="J43" s="21">
        <f t="shared" si="1"/>
        <v>0</v>
      </c>
      <c r="K43" s="24" t="e">
        <f t="shared" si="2"/>
        <v>#DIV/0!</v>
      </c>
      <c r="L43" s="70" t="e">
        <f t="shared" si="3"/>
        <v>#DIV/0!</v>
      </c>
      <c r="M43" s="75" t="e">
        <f t="shared" si="4"/>
        <v>#DIV/0!</v>
      </c>
      <c r="N43" s="1"/>
      <c r="O43" s="28"/>
      <c r="P43" s="19" t="s">
        <v>39</v>
      </c>
      <c r="Q43" s="30">
        <f t="shared" si="5"/>
        <v>-2</v>
      </c>
      <c r="R43" s="38"/>
    </row>
    <row r="44" spans="1:18" ht="15" customHeight="1" x14ac:dyDescent="0.3">
      <c r="A44" s="50"/>
      <c r="B44" s="51"/>
      <c r="D44" s="119"/>
      <c r="E44" s="115" t="s">
        <v>16</v>
      </c>
      <c r="F44" s="23"/>
      <c r="G44" s="23"/>
      <c r="H44" s="24" t="e">
        <f t="shared" si="6"/>
        <v>#DIV/0!</v>
      </c>
      <c r="I44" s="33"/>
      <c r="J44" s="21">
        <f t="shared" si="1"/>
        <v>0</v>
      </c>
      <c r="K44" s="24" t="e">
        <f t="shared" si="2"/>
        <v>#DIV/0!</v>
      </c>
      <c r="L44" s="70" t="e">
        <f t="shared" si="3"/>
        <v>#DIV/0!</v>
      </c>
      <c r="M44" s="75" t="e">
        <f t="shared" si="4"/>
        <v>#DIV/0!</v>
      </c>
      <c r="N44" s="1"/>
      <c r="O44" s="28"/>
      <c r="P44" s="19" t="s">
        <v>39</v>
      </c>
      <c r="Q44" s="30">
        <f t="shared" si="5"/>
        <v>-2</v>
      </c>
      <c r="R44" s="38"/>
    </row>
    <row r="45" spans="1:18" x14ac:dyDescent="0.3">
      <c r="A45" s="50"/>
      <c r="B45" s="51"/>
      <c r="D45" s="119"/>
      <c r="E45" s="115" t="s">
        <v>16</v>
      </c>
      <c r="F45" s="23"/>
      <c r="G45" s="23"/>
      <c r="H45" s="24" t="e">
        <f t="shared" si="6"/>
        <v>#DIV/0!</v>
      </c>
      <c r="I45" s="33"/>
      <c r="J45" s="21">
        <f t="shared" si="1"/>
        <v>0</v>
      </c>
      <c r="K45" s="24" t="e">
        <f t="shared" si="2"/>
        <v>#DIV/0!</v>
      </c>
      <c r="L45" s="70" t="e">
        <f t="shared" si="3"/>
        <v>#DIV/0!</v>
      </c>
      <c r="M45" s="75" t="e">
        <f t="shared" si="4"/>
        <v>#DIV/0!</v>
      </c>
      <c r="N45" s="1"/>
      <c r="O45" s="28"/>
      <c r="P45" s="19" t="s">
        <v>39</v>
      </c>
      <c r="Q45" s="30">
        <f t="shared" si="5"/>
        <v>-2</v>
      </c>
      <c r="R45" s="38"/>
    </row>
    <row r="46" spans="1:18" x14ac:dyDescent="0.3">
      <c r="A46" s="50"/>
      <c r="B46" s="51"/>
      <c r="D46" s="119"/>
      <c r="E46" s="115" t="s">
        <v>16</v>
      </c>
      <c r="F46" s="23"/>
      <c r="G46" s="23"/>
      <c r="H46" s="24" t="e">
        <f t="shared" si="6"/>
        <v>#DIV/0!</v>
      </c>
      <c r="I46" s="33"/>
      <c r="J46" s="21">
        <f t="shared" si="1"/>
        <v>0</v>
      </c>
      <c r="K46" s="24" t="e">
        <f t="shared" si="2"/>
        <v>#DIV/0!</v>
      </c>
      <c r="L46" s="70" t="e">
        <f t="shared" si="3"/>
        <v>#DIV/0!</v>
      </c>
      <c r="M46" s="75" t="e">
        <f t="shared" si="4"/>
        <v>#DIV/0!</v>
      </c>
      <c r="N46" s="1"/>
      <c r="O46" s="28"/>
      <c r="P46" s="19" t="s">
        <v>39</v>
      </c>
      <c r="Q46" s="30">
        <f t="shared" si="5"/>
        <v>-2</v>
      </c>
      <c r="R46" s="38"/>
    </row>
    <row r="47" spans="1:18" x14ac:dyDescent="0.3">
      <c r="A47" s="50"/>
      <c r="B47" s="51"/>
      <c r="D47" s="119"/>
      <c r="E47" s="115" t="s">
        <v>16</v>
      </c>
      <c r="F47" s="23"/>
      <c r="G47" s="23"/>
      <c r="H47" s="24" t="e">
        <f t="shared" si="6"/>
        <v>#DIV/0!</v>
      </c>
      <c r="I47" s="33"/>
      <c r="J47" s="21">
        <f t="shared" si="1"/>
        <v>0</v>
      </c>
      <c r="K47" s="24" t="e">
        <f t="shared" si="2"/>
        <v>#DIV/0!</v>
      </c>
      <c r="L47" s="70" t="e">
        <f t="shared" si="3"/>
        <v>#DIV/0!</v>
      </c>
      <c r="M47" s="75" t="e">
        <f t="shared" si="4"/>
        <v>#DIV/0!</v>
      </c>
      <c r="N47" s="1"/>
      <c r="O47" s="28"/>
      <c r="P47" s="19" t="s">
        <v>39</v>
      </c>
      <c r="Q47" s="30">
        <f t="shared" si="5"/>
        <v>-2</v>
      </c>
      <c r="R47" s="38"/>
    </row>
    <row r="48" spans="1:18" x14ac:dyDescent="0.3">
      <c r="A48" s="50"/>
      <c r="B48" s="51"/>
      <c r="D48" s="119"/>
      <c r="E48" s="115" t="s">
        <v>16</v>
      </c>
      <c r="F48" s="23"/>
      <c r="G48" s="23"/>
      <c r="H48" s="24" t="e">
        <f t="shared" si="6"/>
        <v>#DIV/0!</v>
      </c>
      <c r="I48" s="33"/>
      <c r="J48" s="21">
        <f t="shared" si="1"/>
        <v>0</v>
      </c>
      <c r="K48" s="24" t="e">
        <f t="shared" si="2"/>
        <v>#DIV/0!</v>
      </c>
      <c r="L48" s="70" t="e">
        <f t="shared" si="3"/>
        <v>#DIV/0!</v>
      </c>
      <c r="M48" s="75" t="e">
        <f t="shared" si="4"/>
        <v>#DIV/0!</v>
      </c>
      <c r="N48" s="1"/>
      <c r="O48" s="28"/>
      <c r="P48" s="19" t="s">
        <v>39</v>
      </c>
      <c r="Q48" s="30">
        <f t="shared" si="5"/>
        <v>-2</v>
      </c>
      <c r="R48" s="38"/>
    </row>
    <row r="49" spans="1:18" x14ac:dyDescent="0.3">
      <c r="A49" s="53"/>
      <c r="B49" s="54"/>
      <c r="D49" s="119"/>
      <c r="E49" s="115" t="s">
        <v>16</v>
      </c>
      <c r="F49" s="23"/>
      <c r="G49" s="23"/>
      <c r="H49" s="24" t="e">
        <f t="shared" si="6"/>
        <v>#DIV/0!</v>
      </c>
      <c r="I49" s="33"/>
      <c r="J49" s="21">
        <f t="shared" si="1"/>
        <v>0</v>
      </c>
      <c r="K49" s="24" t="e">
        <f t="shared" si="2"/>
        <v>#DIV/0!</v>
      </c>
      <c r="L49" s="70" t="e">
        <f t="shared" si="3"/>
        <v>#DIV/0!</v>
      </c>
      <c r="M49" s="75" t="e">
        <f t="shared" si="4"/>
        <v>#DIV/0!</v>
      </c>
      <c r="N49" s="1"/>
      <c r="O49" s="28"/>
      <c r="P49" s="19" t="s">
        <v>39</v>
      </c>
      <c r="Q49" s="30">
        <f t="shared" si="5"/>
        <v>-2</v>
      </c>
      <c r="R49" s="38"/>
    </row>
    <row r="50" spans="1:18" x14ac:dyDescent="0.3">
      <c r="A50" s="50"/>
      <c r="B50" s="51"/>
      <c r="D50" s="119"/>
      <c r="E50" s="115" t="s">
        <v>16</v>
      </c>
      <c r="F50" s="23"/>
      <c r="G50" s="23"/>
      <c r="H50" s="24" t="e">
        <f t="shared" si="6"/>
        <v>#DIV/0!</v>
      </c>
      <c r="I50" s="33"/>
      <c r="J50" s="21">
        <f t="shared" si="1"/>
        <v>0</v>
      </c>
      <c r="K50" s="24" t="e">
        <f t="shared" si="2"/>
        <v>#DIV/0!</v>
      </c>
      <c r="L50" s="70" t="e">
        <f t="shared" si="3"/>
        <v>#DIV/0!</v>
      </c>
      <c r="M50" s="75" t="e">
        <f t="shared" si="4"/>
        <v>#DIV/0!</v>
      </c>
      <c r="N50" s="1"/>
      <c r="O50" s="28"/>
      <c r="P50" s="19" t="s">
        <v>39</v>
      </c>
      <c r="Q50" s="30">
        <f t="shared" si="5"/>
        <v>-2</v>
      </c>
      <c r="R50" s="38"/>
    </row>
    <row r="51" spans="1:18" x14ac:dyDescent="0.3">
      <c r="A51" s="48"/>
      <c r="B51" s="49"/>
      <c r="D51" s="119"/>
      <c r="E51" s="115" t="s">
        <v>16</v>
      </c>
      <c r="F51" s="23"/>
      <c r="G51" s="23"/>
      <c r="H51" s="24" t="e">
        <f t="shared" si="6"/>
        <v>#DIV/0!</v>
      </c>
      <c r="I51" s="33"/>
      <c r="J51" s="21">
        <f t="shared" si="1"/>
        <v>0</v>
      </c>
      <c r="K51" s="24" t="e">
        <f t="shared" si="2"/>
        <v>#DIV/0!</v>
      </c>
      <c r="L51" s="70" t="e">
        <f t="shared" si="3"/>
        <v>#DIV/0!</v>
      </c>
      <c r="M51" s="75" t="e">
        <f t="shared" si="4"/>
        <v>#DIV/0!</v>
      </c>
      <c r="N51" s="1"/>
      <c r="O51" s="28"/>
      <c r="P51" s="19" t="s">
        <v>39</v>
      </c>
      <c r="Q51" s="30">
        <f t="shared" si="5"/>
        <v>-2</v>
      </c>
      <c r="R51" s="38"/>
    </row>
    <row r="52" spans="1:18" x14ac:dyDescent="0.3">
      <c r="A52" s="64"/>
      <c r="B52" s="65"/>
      <c r="D52" s="119"/>
      <c r="E52" s="115" t="s">
        <v>16</v>
      </c>
      <c r="F52" s="23"/>
      <c r="G52" s="23"/>
      <c r="H52" s="24" t="e">
        <f t="shared" si="6"/>
        <v>#DIV/0!</v>
      </c>
      <c r="I52" s="33"/>
      <c r="J52" s="21">
        <f t="shared" si="1"/>
        <v>0</v>
      </c>
      <c r="K52" s="24" t="e">
        <f t="shared" si="2"/>
        <v>#DIV/0!</v>
      </c>
      <c r="L52" s="70" t="e">
        <f t="shared" si="3"/>
        <v>#DIV/0!</v>
      </c>
      <c r="M52" s="75" t="e">
        <f t="shared" si="4"/>
        <v>#DIV/0!</v>
      </c>
      <c r="N52" s="1"/>
      <c r="O52" s="28"/>
      <c r="P52" s="19" t="s">
        <v>39</v>
      </c>
      <c r="Q52" s="30">
        <f t="shared" si="5"/>
        <v>-2</v>
      </c>
      <c r="R52" s="38"/>
    </row>
    <row r="53" spans="1:18" x14ac:dyDescent="0.3">
      <c r="A53" s="64"/>
      <c r="B53" s="65"/>
      <c r="D53" s="119"/>
      <c r="E53" s="115" t="s">
        <v>16</v>
      </c>
      <c r="F53" s="23"/>
      <c r="G53" s="23"/>
      <c r="H53" s="24" t="e">
        <f t="shared" si="6"/>
        <v>#DIV/0!</v>
      </c>
      <c r="I53" s="33"/>
      <c r="J53" s="21">
        <f t="shared" si="1"/>
        <v>0</v>
      </c>
      <c r="K53" s="24" t="e">
        <f t="shared" si="2"/>
        <v>#DIV/0!</v>
      </c>
      <c r="L53" s="70" t="e">
        <f t="shared" si="3"/>
        <v>#DIV/0!</v>
      </c>
      <c r="M53" s="75" t="e">
        <f t="shared" si="4"/>
        <v>#DIV/0!</v>
      </c>
      <c r="N53" s="1"/>
      <c r="O53" s="28"/>
      <c r="P53" s="19" t="s">
        <v>39</v>
      </c>
      <c r="Q53" s="30">
        <f t="shared" si="5"/>
        <v>-2</v>
      </c>
      <c r="R53" s="38"/>
    </row>
    <row r="54" spans="1:18" x14ac:dyDescent="0.3">
      <c r="A54" s="64"/>
      <c r="B54" s="65"/>
      <c r="D54" s="119"/>
      <c r="E54" s="115" t="s">
        <v>16</v>
      </c>
      <c r="F54" s="23"/>
      <c r="G54" s="23"/>
      <c r="H54" s="24" t="e">
        <f t="shared" si="6"/>
        <v>#DIV/0!</v>
      </c>
      <c r="I54" s="33"/>
      <c r="J54" s="21">
        <f t="shared" si="1"/>
        <v>0</v>
      </c>
      <c r="K54" s="24" t="e">
        <f t="shared" si="2"/>
        <v>#DIV/0!</v>
      </c>
      <c r="L54" s="70" t="e">
        <f t="shared" si="3"/>
        <v>#DIV/0!</v>
      </c>
      <c r="M54" s="75" t="e">
        <f t="shared" si="4"/>
        <v>#DIV/0!</v>
      </c>
      <c r="N54" s="1"/>
      <c r="O54" s="28"/>
      <c r="P54" s="19" t="s">
        <v>39</v>
      </c>
      <c r="Q54" s="30">
        <f t="shared" si="5"/>
        <v>-2</v>
      </c>
      <c r="R54" s="38"/>
    </row>
    <row r="55" spans="1:18" x14ac:dyDescent="0.3">
      <c r="A55" s="64"/>
      <c r="B55" s="65"/>
      <c r="D55" s="119"/>
      <c r="E55" s="115" t="s">
        <v>16</v>
      </c>
      <c r="F55" s="23"/>
      <c r="G55" s="23"/>
      <c r="H55" s="24" t="e">
        <f t="shared" si="6"/>
        <v>#DIV/0!</v>
      </c>
      <c r="I55" s="33"/>
      <c r="J55" s="21">
        <f t="shared" si="1"/>
        <v>0</v>
      </c>
      <c r="K55" s="24" t="e">
        <f t="shared" si="2"/>
        <v>#DIV/0!</v>
      </c>
      <c r="L55" s="70" t="e">
        <f t="shared" si="3"/>
        <v>#DIV/0!</v>
      </c>
      <c r="M55" s="75" t="e">
        <f t="shared" si="4"/>
        <v>#DIV/0!</v>
      </c>
      <c r="N55" s="1"/>
      <c r="O55" s="28"/>
      <c r="P55" s="19" t="s">
        <v>39</v>
      </c>
      <c r="Q55" s="30">
        <f t="shared" si="5"/>
        <v>-2</v>
      </c>
      <c r="R55" s="38"/>
    </row>
    <row r="56" spans="1:18" x14ac:dyDescent="0.3">
      <c r="A56" s="64"/>
      <c r="B56" s="65"/>
      <c r="D56" s="119"/>
      <c r="E56" s="115" t="s">
        <v>16</v>
      </c>
      <c r="F56" s="23"/>
      <c r="G56" s="23"/>
      <c r="H56" s="24" t="e">
        <f t="shared" si="6"/>
        <v>#DIV/0!</v>
      </c>
      <c r="I56" s="33"/>
      <c r="J56" s="21">
        <f t="shared" si="1"/>
        <v>0</v>
      </c>
      <c r="K56" s="24" t="e">
        <f t="shared" si="2"/>
        <v>#DIV/0!</v>
      </c>
      <c r="L56" s="70" t="e">
        <f t="shared" si="3"/>
        <v>#DIV/0!</v>
      </c>
      <c r="M56" s="75" t="e">
        <f t="shared" si="4"/>
        <v>#DIV/0!</v>
      </c>
      <c r="N56" s="1"/>
      <c r="O56" s="28"/>
      <c r="P56" s="19" t="s">
        <v>39</v>
      </c>
      <c r="Q56" s="30">
        <f t="shared" si="5"/>
        <v>-2</v>
      </c>
      <c r="R56" s="38"/>
    </row>
    <row r="57" spans="1:18" x14ac:dyDescent="0.3">
      <c r="A57" s="64"/>
      <c r="B57" s="65"/>
      <c r="D57" s="119"/>
      <c r="E57" s="115" t="s">
        <v>16</v>
      </c>
      <c r="F57" s="23"/>
      <c r="G57" s="23"/>
      <c r="H57" s="24" t="e">
        <f t="shared" si="6"/>
        <v>#DIV/0!</v>
      </c>
      <c r="I57" s="33"/>
      <c r="J57" s="21">
        <f t="shared" si="1"/>
        <v>0</v>
      </c>
      <c r="K57" s="24" t="e">
        <f t="shared" si="2"/>
        <v>#DIV/0!</v>
      </c>
      <c r="L57" s="70" t="e">
        <f t="shared" si="3"/>
        <v>#DIV/0!</v>
      </c>
      <c r="M57" s="75" t="e">
        <f t="shared" si="4"/>
        <v>#DIV/0!</v>
      </c>
      <c r="N57" s="1"/>
      <c r="O57" s="28"/>
      <c r="P57" s="19" t="s">
        <v>39</v>
      </c>
      <c r="Q57" s="30">
        <f t="shared" si="5"/>
        <v>-2</v>
      </c>
      <c r="R57" s="38"/>
    </row>
    <row r="58" spans="1:18" x14ac:dyDescent="0.3">
      <c r="A58" s="64"/>
      <c r="B58" s="65"/>
      <c r="D58" s="119"/>
      <c r="E58" s="115" t="s">
        <v>16</v>
      </c>
      <c r="F58" s="23"/>
      <c r="G58" s="23"/>
      <c r="H58" s="24" t="e">
        <f t="shared" si="6"/>
        <v>#DIV/0!</v>
      </c>
      <c r="I58" s="33"/>
      <c r="J58" s="21">
        <f t="shared" si="1"/>
        <v>0</v>
      </c>
      <c r="K58" s="24" t="e">
        <f t="shared" si="2"/>
        <v>#DIV/0!</v>
      </c>
      <c r="L58" s="70" t="e">
        <f t="shared" si="3"/>
        <v>#DIV/0!</v>
      </c>
      <c r="M58" s="75" t="e">
        <f t="shared" si="4"/>
        <v>#DIV/0!</v>
      </c>
      <c r="N58" s="1"/>
      <c r="O58" s="28"/>
      <c r="P58" s="19" t="s">
        <v>39</v>
      </c>
      <c r="Q58" s="30">
        <f t="shared" si="5"/>
        <v>-2</v>
      </c>
      <c r="R58" s="38"/>
    </row>
    <row r="59" spans="1:18" x14ac:dyDescent="0.3">
      <c r="A59" s="64"/>
      <c r="B59" s="65"/>
      <c r="D59" s="119"/>
      <c r="E59" s="115" t="s">
        <v>16</v>
      </c>
      <c r="F59" s="23"/>
      <c r="G59" s="23"/>
      <c r="H59" s="24" t="e">
        <f t="shared" si="6"/>
        <v>#DIV/0!</v>
      </c>
      <c r="I59" s="33"/>
      <c r="J59" s="21">
        <f t="shared" si="1"/>
        <v>0</v>
      </c>
      <c r="K59" s="24" t="e">
        <f t="shared" si="2"/>
        <v>#DIV/0!</v>
      </c>
      <c r="L59" s="70" t="e">
        <f t="shared" si="3"/>
        <v>#DIV/0!</v>
      </c>
      <c r="M59" s="75" t="e">
        <f t="shared" si="4"/>
        <v>#DIV/0!</v>
      </c>
      <c r="N59" s="1"/>
      <c r="O59" s="28"/>
      <c r="P59" s="19" t="s">
        <v>39</v>
      </c>
      <c r="Q59" s="30">
        <f t="shared" si="5"/>
        <v>-2</v>
      </c>
      <c r="R59" s="38"/>
    </row>
    <row r="60" spans="1:18" x14ac:dyDescent="0.3">
      <c r="A60" s="64"/>
      <c r="B60" s="65"/>
      <c r="D60" s="119"/>
      <c r="E60" s="115" t="s">
        <v>16</v>
      </c>
      <c r="F60" s="23"/>
      <c r="G60" s="23"/>
      <c r="H60" s="24" t="e">
        <f t="shared" si="6"/>
        <v>#DIV/0!</v>
      </c>
      <c r="I60" s="33"/>
      <c r="J60" s="21">
        <f t="shared" si="1"/>
        <v>0</v>
      </c>
      <c r="K60" s="24" t="e">
        <f t="shared" si="2"/>
        <v>#DIV/0!</v>
      </c>
      <c r="L60" s="70" t="e">
        <f t="shared" si="3"/>
        <v>#DIV/0!</v>
      </c>
      <c r="M60" s="75" t="e">
        <f t="shared" si="4"/>
        <v>#DIV/0!</v>
      </c>
      <c r="N60" s="1"/>
      <c r="O60" s="28"/>
      <c r="P60" s="19" t="s">
        <v>39</v>
      </c>
      <c r="Q60" s="30">
        <f t="shared" si="5"/>
        <v>-2</v>
      </c>
      <c r="R60" s="38"/>
    </row>
    <row r="61" spans="1:18" x14ac:dyDescent="0.3">
      <c r="A61" s="64"/>
      <c r="B61" s="65"/>
      <c r="D61" s="119"/>
      <c r="E61" s="115" t="s">
        <v>16</v>
      </c>
      <c r="F61" s="23"/>
      <c r="G61" s="23"/>
      <c r="H61" s="24" t="e">
        <f t="shared" si="6"/>
        <v>#DIV/0!</v>
      </c>
      <c r="I61" s="33"/>
      <c r="J61" s="21">
        <f t="shared" si="1"/>
        <v>0</v>
      </c>
      <c r="K61" s="24" t="e">
        <f t="shared" si="2"/>
        <v>#DIV/0!</v>
      </c>
      <c r="L61" s="70" t="e">
        <f t="shared" si="3"/>
        <v>#DIV/0!</v>
      </c>
      <c r="M61" s="75" t="e">
        <f t="shared" si="4"/>
        <v>#DIV/0!</v>
      </c>
      <c r="N61" s="1"/>
      <c r="O61" s="28"/>
      <c r="P61" s="19" t="s">
        <v>39</v>
      </c>
      <c r="Q61" s="30">
        <f t="shared" si="5"/>
        <v>-2</v>
      </c>
      <c r="R61" s="38"/>
    </row>
    <row r="62" spans="1:18" x14ac:dyDescent="0.3">
      <c r="A62" s="64"/>
      <c r="B62" s="65"/>
      <c r="D62" s="119"/>
      <c r="E62" s="115" t="s">
        <v>16</v>
      </c>
      <c r="F62" s="23"/>
      <c r="G62" s="23"/>
      <c r="H62" s="24" t="e">
        <f t="shared" si="6"/>
        <v>#DIV/0!</v>
      </c>
      <c r="I62" s="33"/>
      <c r="J62" s="21">
        <f t="shared" si="1"/>
        <v>0</v>
      </c>
      <c r="K62" s="24" t="e">
        <f t="shared" si="2"/>
        <v>#DIV/0!</v>
      </c>
      <c r="L62" s="70" t="e">
        <f t="shared" si="3"/>
        <v>#DIV/0!</v>
      </c>
      <c r="M62" s="75" t="e">
        <f t="shared" si="4"/>
        <v>#DIV/0!</v>
      </c>
      <c r="N62" s="1"/>
      <c r="O62" s="28"/>
      <c r="P62" s="19" t="s">
        <v>39</v>
      </c>
      <c r="Q62" s="30">
        <f t="shared" si="5"/>
        <v>-2</v>
      </c>
      <c r="R62" s="38"/>
    </row>
    <row r="63" spans="1:18" x14ac:dyDescent="0.3">
      <c r="A63" s="64"/>
      <c r="B63" s="65"/>
      <c r="D63" s="119"/>
      <c r="E63" s="115" t="s">
        <v>16</v>
      </c>
      <c r="F63" s="23"/>
      <c r="G63" s="23"/>
      <c r="H63" s="24" t="e">
        <f t="shared" si="6"/>
        <v>#DIV/0!</v>
      </c>
      <c r="I63" s="33"/>
      <c r="J63" s="21">
        <f t="shared" si="1"/>
        <v>0</v>
      </c>
      <c r="K63" s="24" t="e">
        <f t="shared" si="2"/>
        <v>#DIV/0!</v>
      </c>
      <c r="L63" s="70" t="e">
        <f t="shared" si="3"/>
        <v>#DIV/0!</v>
      </c>
      <c r="M63" s="75" t="e">
        <f t="shared" si="4"/>
        <v>#DIV/0!</v>
      </c>
      <c r="N63" s="1"/>
      <c r="O63" s="28"/>
      <c r="P63" s="19" t="s">
        <v>39</v>
      </c>
      <c r="Q63" s="30">
        <f t="shared" si="5"/>
        <v>-2</v>
      </c>
      <c r="R63" s="38"/>
    </row>
    <row r="64" spans="1:18" x14ac:dyDescent="0.3">
      <c r="A64" s="64"/>
      <c r="B64" s="65"/>
      <c r="D64" s="119"/>
      <c r="E64" s="115" t="s">
        <v>16</v>
      </c>
      <c r="F64" s="23"/>
      <c r="G64" s="23"/>
      <c r="H64" s="24" t="e">
        <f t="shared" si="6"/>
        <v>#DIV/0!</v>
      </c>
      <c r="I64" s="33"/>
      <c r="J64" s="21">
        <f t="shared" si="1"/>
        <v>0</v>
      </c>
      <c r="K64" s="24" t="e">
        <f t="shared" si="2"/>
        <v>#DIV/0!</v>
      </c>
      <c r="L64" s="70" t="e">
        <f t="shared" si="3"/>
        <v>#DIV/0!</v>
      </c>
      <c r="M64" s="75" t="e">
        <f t="shared" si="4"/>
        <v>#DIV/0!</v>
      </c>
      <c r="N64" s="1"/>
      <c r="O64" s="28"/>
      <c r="P64" s="19" t="s">
        <v>39</v>
      </c>
      <c r="Q64" s="30">
        <f t="shared" si="5"/>
        <v>-2</v>
      </c>
      <c r="R64" s="38"/>
    </row>
    <row r="65" spans="1:18" x14ac:dyDescent="0.3">
      <c r="A65" s="64"/>
      <c r="B65" s="65"/>
      <c r="D65" s="119"/>
      <c r="E65" s="115" t="s">
        <v>16</v>
      </c>
      <c r="F65" s="23"/>
      <c r="G65" s="23"/>
      <c r="H65" s="24" t="e">
        <f t="shared" si="6"/>
        <v>#DIV/0!</v>
      </c>
      <c r="I65" s="33"/>
      <c r="J65" s="21">
        <f t="shared" si="1"/>
        <v>0</v>
      </c>
      <c r="K65" s="24" t="e">
        <f t="shared" si="2"/>
        <v>#DIV/0!</v>
      </c>
      <c r="L65" s="70" t="e">
        <f t="shared" si="3"/>
        <v>#DIV/0!</v>
      </c>
      <c r="M65" s="75" t="e">
        <f t="shared" si="4"/>
        <v>#DIV/0!</v>
      </c>
      <c r="N65" s="1"/>
      <c r="O65" s="28"/>
      <c r="P65" s="19" t="s">
        <v>39</v>
      </c>
      <c r="Q65" s="30">
        <f t="shared" si="5"/>
        <v>-2</v>
      </c>
      <c r="R65" s="38"/>
    </row>
    <row r="66" spans="1:18" x14ac:dyDescent="0.3">
      <c r="A66" s="64"/>
      <c r="B66" s="65"/>
      <c r="D66" s="119"/>
      <c r="E66" s="115" t="s">
        <v>16</v>
      </c>
      <c r="F66" s="23"/>
      <c r="G66" s="23"/>
      <c r="H66" s="24" t="e">
        <f t="shared" si="6"/>
        <v>#DIV/0!</v>
      </c>
      <c r="I66" s="33"/>
      <c r="J66" s="21">
        <f t="shared" si="1"/>
        <v>0</v>
      </c>
      <c r="K66" s="24" t="e">
        <f t="shared" si="2"/>
        <v>#DIV/0!</v>
      </c>
      <c r="L66" s="70" t="e">
        <f t="shared" si="3"/>
        <v>#DIV/0!</v>
      </c>
      <c r="M66" s="75" t="e">
        <f t="shared" si="4"/>
        <v>#DIV/0!</v>
      </c>
      <c r="N66" s="1"/>
      <c r="O66" s="28"/>
      <c r="P66" s="19" t="s">
        <v>39</v>
      </c>
      <c r="Q66" s="30">
        <f t="shared" si="5"/>
        <v>-2</v>
      </c>
      <c r="R66" s="38"/>
    </row>
    <row r="67" spans="1:18" x14ac:dyDescent="0.3">
      <c r="A67" s="64"/>
      <c r="B67" s="65"/>
      <c r="D67" s="119"/>
      <c r="E67" s="115" t="s">
        <v>16</v>
      </c>
      <c r="F67" s="23"/>
      <c r="G67" s="23"/>
      <c r="H67" s="24" t="e">
        <f t="shared" si="6"/>
        <v>#DIV/0!</v>
      </c>
      <c r="I67" s="33"/>
      <c r="J67" s="21">
        <f t="shared" ref="J67:J71" si="7">F67*I67+IF(N67="Фрибет",(F67*I67-F67)-F67*I67)</f>
        <v>0</v>
      </c>
      <c r="K67" s="24" t="e">
        <f t="shared" ref="K67:K71" si="8">((J67*100)/G67)</f>
        <v>#DIV/0!</v>
      </c>
      <c r="L67" s="70" t="e">
        <f t="shared" ref="L67:L71" si="9">1-M67</f>
        <v>#DIV/0!</v>
      </c>
      <c r="M67" s="75" t="e">
        <f t="shared" ref="M67:M71" si="10">1/I67</f>
        <v>#DIV/0!</v>
      </c>
      <c r="N67" s="1"/>
      <c r="O67" s="28"/>
      <c r="P67" s="19" t="s">
        <v>39</v>
      </c>
      <c r="Q67" s="30">
        <f t="shared" si="5"/>
        <v>-2</v>
      </c>
      <c r="R67" s="38"/>
    </row>
    <row r="68" spans="1:18" x14ac:dyDescent="0.3">
      <c r="A68" s="64"/>
      <c r="B68" s="65"/>
      <c r="D68" s="119"/>
      <c r="E68" s="115" t="s">
        <v>16</v>
      </c>
      <c r="F68" s="23"/>
      <c r="G68" s="23"/>
      <c r="H68" s="24" t="e">
        <f t="shared" si="6"/>
        <v>#DIV/0!</v>
      </c>
      <c r="I68" s="33"/>
      <c r="J68" s="21">
        <f t="shared" si="7"/>
        <v>0</v>
      </c>
      <c r="K68" s="24" t="e">
        <f t="shared" si="8"/>
        <v>#DIV/0!</v>
      </c>
      <c r="L68" s="70" t="e">
        <f t="shared" si="9"/>
        <v>#DIV/0!</v>
      </c>
      <c r="M68" s="75" t="e">
        <f t="shared" si="10"/>
        <v>#DIV/0!</v>
      </c>
      <c r="N68" s="1"/>
      <c r="O68" s="28"/>
      <c r="P68" s="19" t="s">
        <v>39</v>
      </c>
      <c r="Q68" s="30">
        <f t="shared" ref="Q68:Q71" si="11">IF(P68="Победа",1)+IF(P68="Поражение",0)+IF(P68="Не ставил",-2)</f>
        <v>-2</v>
      </c>
      <c r="R68" s="38"/>
    </row>
    <row r="69" spans="1:18" x14ac:dyDescent="0.3">
      <c r="A69" s="64"/>
      <c r="B69" s="65"/>
      <c r="D69" s="119"/>
      <c r="E69" s="115" t="s">
        <v>16</v>
      </c>
      <c r="F69" s="23"/>
      <c r="G69" s="23"/>
      <c r="H69" s="24" t="e">
        <f t="shared" si="6"/>
        <v>#DIV/0!</v>
      </c>
      <c r="I69" s="33"/>
      <c r="J69" s="21">
        <f t="shared" si="7"/>
        <v>0</v>
      </c>
      <c r="K69" s="24" t="e">
        <f t="shared" si="8"/>
        <v>#DIV/0!</v>
      </c>
      <c r="L69" s="70" t="e">
        <f t="shared" si="9"/>
        <v>#DIV/0!</v>
      </c>
      <c r="M69" s="75" t="e">
        <f t="shared" si="10"/>
        <v>#DIV/0!</v>
      </c>
      <c r="N69" s="1"/>
      <c r="O69" s="28"/>
      <c r="P69" s="19" t="s">
        <v>39</v>
      </c>
      <c r="Q69" s="30">
        <f t="shared" si="11"/>
        <v>-2</v>
      </c>
      <c r="R69" s="38"/>
    </row>
    <row r="70" spans="1:18" x14ac:dyDescent="0.3">
      <c r="A70" s="64"/>
      <c r="B70" s="65"/>
      <c r="D70" s="119"/>
      <c r="E70" s="115" t="s">
        <v>16</v>
      </c>
      <c r="F70" s="23"/>
      <c r="G70" s="23"/>
      <c r="H70" s="24" t="e">
        <f t="shared" si="6"/>
        <v>#DIV/0!</v>
      </c>
      <c r="I70" s="33"/>
      <c r="J70" s="21">
        <f t="shared" si="7"/>
        <v>0</v>
      </c>
      <c r="K70" s="24" t="e">
        <f t="shared" si="8"/>
        <v>#DIV/0!</v>
      </c>
      <c r="L70" s="70" t="e">
        <f t="shared" si="9"/>
        <v>#DIV/0!</v>
      </c>
      <c r="M70" s="75" t="e">
        <f t="shared" si="10"/>
        <v>#DIV/0!</v>
      </c>
      <c r="N70" s="1"/>
      <c r="O70" s="28"/>
      <c r="P70" s="19" t="s">
        <v>39</v>
      </c>
      <c r="Q70" s="30">
        <f t="shared" si="11"/>
        <v>-2</v>
      </c>
      <c r="R70" s="38"/>
    </row>
    <row r="71" spans="1:18" ht="15" thickBot="1" x14ac:dyDescent="0.35">
      <c r="A71" s="56"/>
      <c r="B71" s="66"/>
      <c r="D71" s="119"/>
      <c r="E71" s="115" t="s">
        <v>16</v>
      </c>
      <c r="F71" s="23"/>
      <c r="G71" s="23"/>
      <c r="H71" s="24" t="e">
        <f t="shared" si="6"/>
        <v>#DIV/0!</v>
      </c>
      <c r="I71" s="33"/>
      <c r="J71" s="21">
        <f t="shared" si="7"/>
        <v>0</v>
      </c>
      <c r="K71" s="24" t="e">
        <f t="shared" si="8"/>
        <v>#DIV/0!</v>
      </c>
      <c r="L71" s="70" t="e">
        <f t="shared" si="9"/>
        <v>#DIV/0!</v>
      </c>
      <c r="M71" s="75" t="e">
        <f t="shared" si="10"/>
        <v>#DIV/0!</v>
      </c>
      <c r="N71" s="1"/>
      <c r="O71" s="28"/>
      <c r="P71" s="19" t="s">
        <v>39</v>
      </c>
      <c r="Q71" s="30">
        <f t="shared" si="11"/>
        <v>-2</v>
      </c>
      <c r="R71" s="38"/>
    </row>
    <row r="72" spans="1:18" x14ac:dyDescent="0.3">
      <c r="E72"/>
      <c r="F72"/>
      <c r="G72"/>
      <c r="H72"/>
      <c r="I72"/>
      <c r="J72"/>
      <c r="K72"/>
      <c r="L72" s="73"/>
      <c r="M72" s="78"/>
      <c r="O72"/>
      <c r="P72"/>
      <c r="Q72"/>
      <c r="R72" s="86"/>
    </row>
    <row r="73" spans="1:18" x14ac:dyDescent="0.3">
      <c r="E73"/>
      <c r="F73"/>
      <c r="G73"/>
      <c r="H73"/>
      <c r="I73"/>
      <c r="J73"/>
      <c r="K73"/>
      <c r="L73" s="73"/>
      <c r="M73" s="78"/>
      <c r="O73"/>
      <c r="P73"/>
      <c r="Q73"/>
      <c r="R73" s="86"/>
    </row>
    <row r="74" spans="1:18" x14ac:dyDescent="0.3">
      <c r="E74"/>
      <c r="F74"/>
      <c r="G74"/>
      <c r="H74"/>
      <c r="I74"/>
      <c r="J74"/>
      <c r="K74"/>
      <c r="L74" s="73"/>
      <c r="M74" s="78"/>
      <c r="O74"/>
      <c r="P74"/>
      <c r="Q74"/>
      <c r="R74" s="86"/>
    </row>
    <row r="75" spans="1:18" x14ac:dyDescent="0.3">
      <c r="E75"/>
      <c r="F75"/>
      <c r="G75"/>
      <c r="H75"/>
      <c r="I75"/>
      <c r="J75"/>
      <c r="K75"/>
      <c r="L75" s="73"/>
      <c r="M75" s="78"/>
      <c r="O75"/>
      <c r="P75"/>
      <c r="Q75"/>
      <c r="R75" s="86"/>
    </row>
    <row r="76" spans="1:18" x14ac:dyDescent="0.3">
      <c r="E76"/>
      <c r="F76"/>
      <c r="G76"/>
      <c r="H76"/>
      <c r="I76"/>
      <c r="J76"/>
      <c r="K76"/>
      <c r="L76" s="73"/>
      <c r="M76" s="78"/>
      <c r="O76"/>
      <c r="P76"/>
      <c r="Q76"/>
      <c r="R76" s="86"/>
    </row>
    <row r="77" spans="1:18" x14ac:dyDescent="0.3">
      <c r="E77"/>
      <c r="F77"/>
      <c r="G77"/>
      <c r="H77"/>
      <c r="I77"/>
      <c r="J77"/>
      <c r="K77"/>
      <c r="L77" s="73"/>
      <c r="M77" s="78"/>
      <c r="O77"/>
      <c r="P77"/>
      <c r="Q77"/>
      <c r="R77" s="86"/>
    </row>
    <row r="78" spans="1:18" x14ac:dyDescent="0.3">
      <c r="E78"/>
      <c r="F78"/>
      <c r="G78"/>
      <c r="H78"/>
      <c r="I78"/>
      <c r="J78"/>
      <c r="K78"/>
      <c r="L78" s="73"/>
      <c r="M78" s="78"/>
      <c r="O78"/>
      <c r="P78"/>
      <c r="Q78"/>
      <c r="R78" s="86"/>
    </row>
    <row r="79" spans="1:18" x14ac:dyDescent="0.3">
      <c r="E79"/>
      <c r="F79"/>
      <c r="G79"/>
      <c r="H79"/>
      <c r="I79"/>
      <c r="J79"/>
      <c r="K79"/>
      <c r="L79" s="73"/>
      <c r="M79" s="78"/>
      <c r="O79"/>
      <c r="P79"/>
      <c r="Q79"/>
      <c r="R79" s="86"/>
    </row>
    <row r="80" spans="1:18" x14ac:dyDescent="0.3">
      <c r="E80"/>
      <c r="F80"/>
      <c r="G80"/>
      <c r="H80"/>
      <c r="I80"/>
      <c r="J80"/>
      <c r="K80"/>
      <c r="L80" s="73"/>
      <c r="M80" s="78"/>
      <c r="O80"/>
      <c r="P80"/>
      <c r="Q80"/>
      <c r="R80" s="86"/>
    </row>
    <row r="81" spans="5:18" x14ac:dyDescent="0.3">
      <c r="E81"/>
      <c r="F81"/>
      <c r="G81"/>
      <c r="H81"/>
      <c r="I81"/>
      <c r="J81"/>
      <c r="K81"/>
      <c r="L81" s="73"/>
      <c r="M81" s="78"/>
      <c r="O81"/>
      <c r="P81"/>
      <c r="Q81"/>
      <c r="R81" s="86"/>
    </row>
    <row r="82" spans="5:18" x14ac:dyDescent="0.3">
      <c r="E82"/>
      <c r="F82"/>
      <c r="G82"/>
      <c r="H82"/>
      <c r="I82"/>
      <c r="J82"/>
      <c r="K82"/>
      <c r="L82" s="73"/>
      <c r="M82" s="78"/>
      <c r="O82"/>
      <c r="P82"/>
      <c r="Q82"/>
      <c r="R82" s="86"/>
    </row>
    <row r="83" spans="5:18" x14ac:dyDescent="0.3">
      <c r="E83"/>
      <c r="F83"/>
      <c r="G83"/>
      <c r="H83"/>
      <c r="I83"/>
      <c r="J83"/>
      <c r="K83"/>
      <c r="L83" s="73"/>
      <c r="M83" s="78"/>
      <c r="O83"/>
      <c r="P83"/>
      <c r="Q83"/>
      <c r="R83" s="86"/>
    </row>
    <row r="84" spans="5:18" x14ac:dyDescent="0.3">
      <c r="E84"/>
      <c r="F84"/>
      <c r="G84"/>
      <c r="H84"/>
      <c r="I84"/>
      <c r="J84"/>
      <c r="K84"/>
      <c r="L84" s="73"/>
      <c r="M84" s="78"/>
      <c r="O84"/>
      <c r="P84"/>
      <c r="Q84"/>
      <c r="R84" s="86"/>
    </row>
    <row r="85" spans="5:18" x14ac:dyDescent="0.3">
      <c r="E85"/>
      <c r="F85"/>
      <c r="G85"/>
      <c r="H85"/>
      <c r="I85"/>
      <c r="J85"/>
      <c r="K85"/>
      <c r="L85" s="73"/>
      <c r="M85" s="78"/>
      <c r="O85"/>
      <c r="P85"/>
      <c r="Q85"/>
      <c r="R85" s="86"/>
    </row>
    <row r="86" spans="5:18" x14ac:dyDescent="0.3">
      <c r="E86"/>
      <c r="F86"/>
      <c r="G86"/>
      <c r="H86"/>
      <c r="I86"/>
      <c r="J86"/>
      <c r="K86"/>
      <c r="L86" s="73"/>
      <c r="M86" s="78"/>
      <c r="O86"/>
      <c r="P86"/>
      <c r="Q86"/>
      <c r="R86" s="86"/>
    </row>
    <row r="87" spans="5:18" x14ac:dyDescent="0.3">
      <c r="E87"/>
      <c r="F87"/>
      <c r="G87"/>
      <c r="H87"/>
      <c r="I87"/>
      <c r="J87"/>
      <c r="K87"/>
      <c r="L87" s="73"/>
      <c r="M87" s="78"/>
      <c r="O87"/>
      <c r="P87"/>
      <c r="Q87"/>
      <c r="R87" s="86"/>
    </row>
    <row r="88" spans="5:18" x14ac:dyDescent="0.3">
      <c r="E88"/>
      <c r="F88"/>
      <c r="G88"/>
      <c r="H88"/>
      <c r="I88"/>
      <c r="J88"/>
      <c r="K88"/>
      <c r="L88" s="73"/>
      <c r="M88" s="78"/>
      <c r="O88"/>
      <c r="P88"/>
      <c r="Q88"/>
      <c r="R88" s="86"/>
    </row>
    <row r="89" spans="5:18" x14ac:dyDescent="0.3">
      <c r="E89"/>
      <c r="F89"/>
      <c r="G89"/>
      <c r="H89"/>
      <c r="I89"/>
      <c r="J89"/>
      <c r="K89"/>
      <c r="L89" s="73"/>
      <c r="M89" s="78"/>
      <c r="O89"/>
      <c r="P89"/>
      <c r="Q89"/>
      <c r="R89" s="86"/>
    </row>
    <row r="90" spans="5:18" x14ac:dyDescent="0.3">
      <c r="E90"/>
      <c r="F90"/>
      <c r="G90"/>
      <c r="H90"/>
      <c r="I90"/>
      <c r="J90"/>
      <c r="K90"/>
      <c r="L90" s="73"/>
      <c r="M90" s="78"/>
      <c r="O90"/>
      <c r="P90"/>
      <c r="Q90"/>
      <c r="R90" s="86"/>
    </row>
    <row r="91" spans="5:18" x14ac:dyDescent="0.3">
      <c r="E91"/>
      <c r="F91"/>
      <c r="G91"/>
      <c r="H91"/>
      <c r="I91"/>
      <c r="J91"/>
      <c r="K91"/>
      <c r="L91" s="73"/>
      <c r="M91" s="78"/>
      <c r="O91"/>
      <c r="P91"/>
      <c r="Q91"/>
      <c r="R91" s="86"/>
    </row>
    <row r="92" spans="5:18" x14ac:dyDescent="0.3">
      <c r="E92"/>
      <c r="F92"/>
      <c r="G92"/>
      <c r="H92"/>
      <c r="I92"/>
      <c r="J92"/>
      <c r="K92"/>
      <c r="L92" s="73"/>
      <c r="M92" s="78"/>
      <c r="O92"/>
      <c r="P92"/>
      <c r="Q92"/>
      <c r="R92" s="86"/>
    </row>
    <row r="93" spans="5:18" x14ac:dyDescent="0.3">
      <c r="E93"/>
      <c r="F93"/>
      <c r="G93"/>
      <c r="H93"/>
      <c r="I93"/>
      <c r="J93"/>
      <c r="K93"/>
      <c r="L93" s="73"/>
      <c r="M93" s="78"/>
      <c r="O93"/>
      <c r="P93"/>
      <c r="Q93"/>
      <c r="R93" s="86"/>
    </row>
    <row r="94" spans="5:18" x14ac:dyDescent="0.3">
      <c r="E94"/>
      <c r="F94"/>
      <c r="G94"/>
      <c r="H94"/>
      <c r="I94"/>
      <c r="J94"/>
      <c r="K94"/>
      <c r="L94" s="73"/>
      <c r="M94" s="78"/>
      <c r="O94"/>
      <c r="P94"/>
      <c r="Q94"/>
      <c r="R94" s="86"/>
    </row>
    <row r="95" spans="5:18" x14ac:dyDescent="0.3">
      <c r="E95"/>
      <c r="F95"/>
      <c r="G95"/>
      <c r="H95"/>
      <c r="I95"/>
      <c r="J95"/>
      <c r="K95"/>
      <c r="L95" s="73"/>
      <c r="M95" s="78"/>
      <c r="O95"/>
      <c r="P95"/>
      <c r="Q95"/>
      <c r="R95" s="86"/>
    </row>
    <row r="96" spans="5:18" x14ac:dyDescent="0.3">
      <c r="E96"/>
      <c r="F96"/>
      <c r="G96"/>
      <c r="H96"/>
      <c r="I96"/>
      <c r="J96"/>
      <c r="K96"/>
      <c r="L96" s="73"/>
      <c r="M96" s="78"/>
      <c r="O96"/>
      <c r="P96"/>
      <c r="Q96"/>
      <c r="R96" s="86"/>
    </row>
    <row r="97" spans="5:18" x14ac:dyDescent="0.3">
      <c r="E97"/>
      <c r="F97"/>
      <c r="G97"/>
      <c r="H97"/>
      <c r="I97"/>
      <c r="J97"/>
      <c r="K97"/>
      <c r="L97" s="73"/>
      <c r="M97" s="78"/>
      <c r="O97"/>
      <c r="P97"/>
      <c r="Q97"/>
      <c r="R97" s="86"/>
    </row>
    <row r="98" spans="5:18" x14ac:dyDescent="0.3">
      <c r="E98"/>
      <c r="F98"/>
      <c r="G98"/>
      <c r="H98"/>
      <c r="I98"/>
      <c r="J98"/>
      <c r="K98"/>
      <c r="L98" s="73"/>
      <c r="M98" s="78"/>
      <c r="O98"/>
      <c r="P98"/>
      <c r="Q98"/>
      <c r="R98" s="86"/>
    </row>
    <row r="99" spans="5:18" x14ac:dyDescent="0.3">
      <c r="E99"/>
      <c r="F99"/>
      <c r="G99"/>
      <c r="H99"/>
      <c r="I99"/>
      <c r="J99"/>
      <c r="K99"/>
      <c r="L99" s="73"/>
      <c r="M99" s="78"/>
      <c r="O99"/>
      <c r="P99"/>
      <c r="Q99"/>
      <c r="R99" s="86"/>
    </row>
    <row r="100" spans="5:18" x14ac:dyDescent="0.3">
      <c r="E100"/>
      <c r="F100"/>
      <c r="G100"/>
      <c r="H100"/>
      <c r="I100"/>
      <c r="J100"/>
      <c r="K100"/>
      <c r="L100" s="73"/>
      <c r="M100" s="78"/>
      <c r="O100"/>
      <c r="P100"/>
      <c r="Q100"/>
      <c r="R100" s="86"/>
    </row>
    <row r="101" spans="5:18" x14ac:dyDescent="0.3">
      <c r="E101"/>
      <c r="F101"/>
      <c r="G101"/>
      <c r="H101"/>
      <c r="I101"/>
      <c r="J101"/>
      <c r="K101"/>
      <c r="L101" s="73"/>
      <c r="M101" s="78"/>
      <c r="O101"/>
      <c r="P101"/>
      <c r="Q101"/>
      <c r="R101" s="86"/>
    </row>
    <row r="102" spans="5:18" x14ac:dyDescent="0.3">
      <c r="E102"/>
      <c r="F102"/>
      <c r="G102"/>
      <c r="H102"/>
      <c r="I102"/>
      <c r="J102"/>
      <c r="K102"/>
      <c r="L102" s="73"/>
      <c r="M102" s="78"/>
      <c r="O102"/>
      <c r="P102"/>
      <c r="Q102"/>
      <c r="R102" s="86"/>
    </row>
    <row r="103" spans="5:18" x14ac:dyDescent="0.3">
      <c r="E103"/>
      <c r="F103"/>
      <c r="G103"/>
      <c r="H103"/>
      <c r="I103"/>
      <c r="J103"/>
      <c r="K103"/>
      <c r="L103" s="73"/>
      <c r="M103" s="78"/>
      <c r="O103"/>
      <c r="P103"/>
      <c r="Q103"/>
      <c r="R103" s="86"/>
    </row>
    <row r="104" spans="5:18" x14ac:dyDescent="0.3">
      <c r="E104"/>
      <c r="F104"/>
      <c r="G104"/>
      <c r="H104"/>
      <c r="I104"/>
      <c r="J104"/>
      <c r="K104"/>
      <c r="L104" s="73"/>
      <c r="M104" s="78"/>
      <c r="O104"/>
      <c r="P104"/>
      <c r="Q104"/>
      <c r="R104" s="86"/>
    </row>
    <row r="105" spans="5:18" x14ac:dyDescent="0.3">
      <c r="E105"/>
      <c r="F105"/>
      <c r="G105"/>
      <c r="H105"/>
      <c r="I105"/>
      <c r="J105"/>
      <c r="K105"/>
      <c r="L105" s="73"/>
      <c r="M105" s="78"/>
      <c r="O105"/>
      <c r="P105"/>
      <c r="Q105"/>
      <c r="R105" s="86"/>
    </row>
    <row r="106" spans="5:18" x14ac:dyDescent="0.3">
      <c r="E106"/>
      <c r="F106"/>
      <c r="G106"/>
      <c r="H106"/>
      <c r="I106"/>
      <c r="J106"/>
      <c r="K106"/>
      <c r="L106" s="73"/>
      <c r="M106" s="78"/>
      <c r="O106"/>
      <c r="P106"/>
      <c r="Q106"/>
      <c r="R106" s="86"/>
    </row>
    <row r="107" spans="5:18" x14ac:dyDescent="0.3">
      <c r="E107"/>
      <c r="F107"/>
      <c r="G107"/>
      <c r="H107"/>
      <c r="I107"/>
      <c r="J107"/>
      <c r="K107"/>
      <c r="L107" s="73"/>
      <c r="M107" s="78"/>
      <c r="O107"/>
      <c r="P107"/>
      <c r="Q107"/>
      <c r="R107" s="86"/>
    </row>
    <row r="108" spans="5:18" x14ac:dyDescent="0.3">
      <c r="E108"/>
      <c r="F108"/>
      <c r="G108"/>
      <c r="H108"/>
      <c r="I108"/>
      <c r="J108"/>
      <c r="K108"/>
      <c r="L108" s="73"/>
      <c r="M108" s="78"/>
      <c r="O108"/>
      <c r="P108"/>
      <c r="Q108"/>
      <c r="R108" s="86"/>
    </row>
    <row r="109" spans="5:18" x14ac:dyDescent="0.3">
      <c r="E109"/>
      <c r="F109"/>
      <c r="G109"/>
      <c r="H109"/>
      <c r="I109"/>
      <c r="J109"/>
      <c r="K109"/>
      <c r="L109" s="73"/>
      <c r="M109" s="78"/>
      <c r="O109"/>
      <c r="P109"/>
      <c r="Q109"/>
      <c r="R109" s="86"/>
    </row>
    <row r="110" spans="5:18" x14ac:dyDescent="0.3">
      <c r="E110"/>
      <c r="F110"/>
      <c r="G110"/>
      <c r="H110"/>
      <c r="I110"/>
      <c r="J110"/>
      <c r="K110"/>
      <c r="L110" s="73"/>
      <c r="M110" s="78"/>
      <c r="O110"/>
      <c r="P110"/>
      <c r="Q110"/>
      <c r="R110" s="86"/>
    </row>
    <row r="111" spans="5:18" x14ac:dyDescent="0.3">
      <c r="E111"/>
      <c r="F111"/>
      <c r="G111"/>
      <c r="H111"/>
      <c r="I111"/>
      <c r="J111"/>
      <c r="K111"/>
      <c r="L111" s="73"/>
      <c r="M111" s="78"/>
      <c r="O111"/>
      <c r="P111"/>
      <c r="Q111"/>
      <c r="R111" s="86"/>
    </row>
    <row r="112" spans="5:18" x14ac:dyDescent="0.3">
      <c r="E112"/>
      <c r="F112"/>
      <c r="G112"/>
      <c r="H112"/>
      <c r="I112"/>
      <c r="J112"/>
      <c r="K112"/>
      <c r="L112" s="73"/>
      <c r="M112" s="78"/>
      <c r="O112"/>
      <c r="P112"/>
      <c r="Q112"/>
      <c r="R112" s="86"/>
    </row>
    <row r="113" spans="5:18" x14ac:dyDescent="0.3">
      <c r="E113"/>
      <c r="F113"/>
      <c r="G113"/>
      <c r="H113"/>
      <c r="I113"/>
      <c r="J113"/>
      <c r="K113"/>
      <c r="L113" s="73"/>
      <c r="M113" s="78"/>
      <c r="O113"/>
      <c r="P113"/>
      <c r="Q113"/>
      <c r="R113" s="86"/>
    </row>
    <row r="114" spans="5:18" x14ac:dyDescent="0.3">
      <c r="E114"/>
      <c r="F114"/>
      <c r="G114"/>
      <c r="H114"/>
      <c r="I114"/>
      <c r="J114"/>
      <c r="K114"/>
      <c r="L114" s="73"/>
      <c r="M114" s="78"/>
      <c r="O114"/>
      <c r="P114"/>
      <c r="Q114"/>
      <c r="R114" s="86"/>
    </row>
    <row r="115" spans="5:18" x14ac:dyDescent="0.3">
      <c r="E115"/>
      <c r="F115"/>
      <c r="G115"/>
      <c r="H115"/>
      <c r="I115"/>
      <c r="J115"/>
      <c r="K115"/>
      <c r="L115" s="73"/>
      <c r="M115" s="78"/>
      <c r="O115"/>
      <c r="P115"/>
      <c r="Q115"/>
      <c r="R115" s="86"/>
    </row>
    <row r="116" spans="5:18" x14ac:dyDescent="0.3">
      <c r="E116"/>
      <c r="F116"/>
      <c r="G116"/>
      <c r="H116"/>
      <c r="I116"/>
      <c r="J116"/>
      <c r="K116"/>
      <c r="L116" s="73"/>
      <c r="M116" s="78"/>
      <c r="O116"/>
      <c r="P116"/>
      <c r="Q116"/>
      <c r="R116" s="86"/>
    </row>
    <row r="117" spans="5:18" x14ac:dyDescent="0.3">
      <c r="E117"/>
      <c r="F117"/>
      <c r="G117"/>
      <c r="H117"/>
      <c r="I117"/>
      <c r="J117"/>
      <c r="K117"/>
      <c r="L117" s="73"/>
      <c r="M117" s="78"/>
      <c r="O117"/>
      <c r="P117"/>
      <c r="Q117"/>
      <c r="R117" s="86"/>
    </row>
    <row r="118" spans="5:18" x14ac:dyDescent="0.3">
      <c r="E118"/>
      <c r="F118"/>
      <c r="G118"/>
      <c r="H118"/>
      <c r="I118"/>
      <c r="J118"/>
      <c r="K118"/>
      <c r="L118" s="73"/>
      <c r="M118" s="78"/>
      <c r="O118"/>
      <c r="P118"/>
      <c r="Q118"/>
      <c r="R118" s="86"/>
    </row>
    <row r="119" spans="5:18" x14ac:dyDescent="0.3">
      <c r="E119"/>
      <c r="F119"/>
      <c r="G119"/>
      <c r="H119"/>
      <c r="I119"/>
      <c r="J119"/>
      <c r="K119"/>
      <c r="L119" s="73"/>
      <c r="M119" s="78"/>
      <c r="O119"/>
      <c r="P119"/>
      <c r="Q119"/>
      <c r="R119" s="86"/>
    </row>
    <row r="120" spans="5:18" x14ac:dyDescent="0.3">
      <c r="E120"/>
      <c r="F120"/>
      <c r="G120"/>
      <c r="H120"/>
      <c r="I120"/>
      <c r="J120"/>
      <c r="K120"/>
      <c r="L120" s="73"/>
      <c r="M120" s="78"/>
      <c r="O120"/>
      <c r="P120"/>
      <c r="Q120"/>
      <c r="R120" s="86"/>
    </row>
    <row r="121" spans="5:18" x14ac:dyDescent="0.3">
      <c r="E121"/>
      <c r="F121"/>
      <c r="G121"/>
      <c r="H121"/>
      <c r="I121"/>
      <c r="J121"/>
      <c r="K121"/>
      <c r="L121" s="73"/>
      <c r="M121" s="78"/>
      <c r="O121"/>
      <c r="P121"/>
      <c r="Q121"/>
      <c r="R121" s="86"/>
    </row>
    <row r="122" spans="5:18" x14ac:dyDescent="0.3">
      <c r="E122"/>
      <c r="F122"/>
      <c r="G122"/>
      <c r="H122"/>
      <c r="I122"/>
      <c r="J122"/>
      <c r="K122"/>
      <c r="L122" s="73"/>
      <c r="M122" s="78"/>
      <c r="O122"/>
      <c r="P122"/>
      <c r="Q122"/>
      <c r="R122" s="86"/>
    </row>
    <row r="123" spans="5:18" x14ac:dyDescent="0.3">
      <c r="E123"/>
      <c r="F123"/>
      <c r="G123"/>
      <c r="H123"/>
      <c r="I123"/>
      <c r="J123"/>
      <c r="K123"/>
      <c r="L123" s="73"/>
      <c r="M123" s="78"/>
      <c r="O123"/>
      <c r="P123"/>
      <c r="Q123"/>
      <c r="R123" s="86"/>
    </row>
    <row r="124" spans="5:18" x14ac:dyDescent="0.3">
      <c r="E124"/>
      <c r="F124"/>
      <c r="G124"/>
      <c r="H124"/>
      <c r="I124"/>
      <c r="J124"/>
      <c r="K124"/>
      <c r="L124" s="73"/>
      <c r="M124" s="78"/>
      <c r="O124"/>
      <c r="P124"/>
      <c r="Q124"/>
      <c r="R124" s="86"/>
    </row>
    <row r="125" spans="5:18" x14ac:dyDescent="0.3">
      <c r="E125"/>
      <c r="F125"/>
      <c r="G125"/>
      <c r="H125"/>
      <c r="I125"/>
      <c r="J125"/>
      <c r="K125"/>
      <c r="L125" s="73"/>
      <c r="M125" s="78"/>
      <c r="O125"/>
      <c r="P125"/>
      <c r="Q125"/>
      <c r="R125" s="86"/>
    </row>
    <row r="126" spans="5:18" x14ac:dyDescent="0.3">
      <c r="E126"/>
      <c r="F126"/>
      <c r="G126"/>
      <c r="H126"/>
      <c r="I126"/>
      <c r="J126"/>
      <c r="K126"/>
      <c r="L126" s="73"/>
      <c r="M126" s="78"/>
      <c r="O126"/>
      <c r="P126"/>
      <c r="Q126"/>
      <c r="R126" s="86"/>
    </row>
    <row r="127" spans="5:18" x14ac:dyDescent="0.3">
      <c r="E127"/>
      <c r="F127"/>
      <c r="G127"/>
      <c r="H127"/>
      <c r="I127"/>
      <c r="J127"/>
      <c r="K127"/>
      <c r="L127" s="73"/>
      <c r="M127" s="78"/>
      <c r="O127"/>
      <c r="P127"/>
      <c r="Q127"/>
      <c r="R127" s="86"/>
    </row>
    <row r="128" spans="5:18" x14ac:dyDescent="0.3">
      <c r="E128"/>
      <c r="F128"/>
      <c r="G128"/>
      <c r="H128"/>
      <c r="I128"/>
      <c r="J128"/>
      <c r="K128"/>
      <c r="L128" s="73"/>
      <c r="M128" s="78"/>
      <c r="O128"/>
      <c r="P128"/>
      <c r="Q128"/>
      <c r="R128" s="86"/>
    </row>
    <row r="129" spans="5:18" x14ac:dyDescent="0.3">
      <c r="E129"/>
      <c r="F129"/>
      <c r="G129"/>
      <c r="H129"/>
      <c r="I129"/>
      <c r="J129"/>
      <c r="K129"/>
      <c r="L129" s="73"/>
      <c r="M129" s="78"/>
      <c r="O129"/>
      <c r="P129"/>
      <c r="Q129"/>
      <c r="R129" s="86"/>
    </row>
    <row r="130" spans="5:18" x14ac:dyDescent="0.3">
      <c r="E130"/>
      <c r="F130"/>
      <c r="G130"/>
      <c r="H130"/>
      <c r="I130"/>
      <c r="J130"/>
      <c r="K130"/>
      <c r="L130" s="73"/>
      <c r="M130" s="78"/>
      <c r="O130"/>
      <c r="P130"/>
      <c r="Q130"/>
      <c r="R130" s="86"/>
    </row>
    <row r="131" spans="5:18" x14ac:dyDescent="0.3">
      <c r="E131"/>
      <c r="F131"/>
      <c r="G131"/>
      <c r="H131"/>
      <c r="I131"/>
      <c r="J131"/>
      <c r="K131"/>
      <c r="L131" s="73"/>
      <c r="M131" s="78"/>
      <c r="O131"/>
      <c r="P131"/>
      <c r="Q131"/>
      <c r="R131" s="86"/>
    </row>
    <row r="132" spans="5:18" x14ac:dyDescent="0.3">
      <c r="E132"/>
      <c r="F132"/>
      <c r="G132"/>
      <c r="H132"/>
      <c r="I132"/>
      <c r="J132"/>
      <c r="K132"/>
      <c r="L132" s="73"/>
      <c r="M132" s="78"/>
      <c r="O132"/>
      <c r="P132"/>
      <c r="Q132"/>
      <c r="R132" s="86"/>
    </row>
    <row r="133" spans="5:18" x14ac:dyDescent="0.3">
      <c r="E133"/>
      <c r="F133"/>
      <c r="G133"/>
      <c r="H133"/>
      <c r="I133"/>
      <c r="J133"/>
      <c r="K133"/>
      <c r="L133" s="73"/>
      <c r="M133" s="78"/>
      <c r="O133"/>
      <c r="P133"/>
      <c r="Q133"/>
      <c r="R133" s="86"/>
    </row>
    <row r="134" spans="5:18" x14ac:dyDescent="0.3">
      <c r="E134"/>
      <c r="F134"/>
      <c r="G134"/>
      <c r="H134"/>
      <c r="I134"/>
      <c r="J134"/>
      <c r="K134"/>
      <c r="L134" s="73"/>
      <c r="M134" s="78"/>
      <c r="O134"/>
      <c r="P134"/>
      <c r="Q134"/>
      <c r="R134" s="86"/>
    </row>
    <row r="135" spans="5:18" x14ac:dyDescent="0.3">
      <c r="E135"/>
      <c r="F135"/>
      <c r="G135"/>
      <c r="H135"/>
      <c r="I135"/>
      <c r="J135"/>
      <c r="K135"/>
      <c r="L135" s="73"/>
      <c r="M135" s="78"/>
      <c r="O135"/>
      <c r="P135"/>
      <c r="Q135"/>
      <c r="R135" s="86"/>
    </row>
    <row r="136" spans="5:18" x14ac:dyDescent="0.3">
      <c r="E136"/>
      <c r="F136"/>
      <c r="G136"/>
      <c r="H136"/>
      <c r="I136"/>
      <c r="J136"/>
      <c r="K136"/>
      <c r="L136" s="73"/>
      <c r="M136" s="78"/>
      <c r="O136"/>
      <c r="P136"/>
      <c r="Q136"/>
      <c r="R136" s="86"/>
    </row>
    <row r="137" spans="5:18" x14ac:dyDescent="0.3">
      <c r="E137"/>
      <c r="F137"/>
      <c r="G137"/>
      <c r="H137"/>
      <c r="I137"/>
      <c r="J137"/>
      <c r="K137"/>
      <c r="L137" s="73"/>
      <c r="M137" s="78"/>
      <c r="O137"/>
      <c r="P137"/>
      <c r="Q137"/>
      <c r="R137" s="86"/>
    </row>
    <row r="138" spans="5:18" x14ac:dyDescent="0.3">
      <c r="E138"/>
      <c r="F138"/>
      <c r="G138"/>
      <c r="H138"/>
      <c r="I138"/>
      <c r="J138"/>
      <c r="K138"/>
      <c r="L138" s="73"/>
      <c r="M138" s="78"/>
      <c r="O138"/>
      <c r="P138"/>
      <c r="Q138"/>
      <c r="R138" s="86"/>
    </row>
    <row r="139" spans="5:18" x14ac:dyDescent="0.3">
      <c r="E139"/>
      <c r="F139"/>
      <c r="G139"/>
      <c r="H139"/>
      <c r="I139"/>
      <c r="J139"/>
      <c r="K139"/>
      <c r="L139" s="73"/>
      <c r="M139" s="78"/>
      <c r="O139"/>
      <c r="P139"/>
      <c r="Q139"/>
      <c r="R139" s="86"/>
    </row>
    <row r="140" spans="5:18" x14ac:dyDescent="0.3">
      <c r="E140"/>
      <c r="F140"/>
      <c r="G140"/>
      <c r="H140"/>
      <c r="I140"/>
      <c r="J140"/>
      <c r="K140"/>
      <c r="L140" s="73"/>
      <c r="M140" s="78"/>
      <c r="O140"/>
      <c r="P140"/>
      <c r="Q140"/>
      <c r="R140" s="86"/>
    </row>
    <row r="141" spans="5:18" x14ac:dyDescent="0.3">
      <c r="E141"/>
      <c r="F141"/>
      <c r="G141"/>
      <c r="H141"/>
      <c r="I141"/>
      <c r="J141"/>
      <c r="K141"/>
      <c r="L141" s="73"/>
      <c r="M141" s="78"/>
      <c r="O141"/>
      <c r="P141"/>
      <c r="Q141"/>
      <c r="R141" s="86"/>
    </row>
    <row r="142" spans="5:18" x14ac:dyDescent="0.3">
      <c r="E142"/>
      <c r="F142"/>
      <c r="G142"/>
      <c r="H142"/>
      <c r="I142"/>
      <c r="J142"/>
      <c r="K142"/>
      <c r="L142" s="73"/>
      <c r="M142" s="78"/>
      <c r="O142"/>
      <c r="P142"/>
      <c r="Q142"/>
      <c r="R142" s="86"/>
    </row>
    <row r="143" spans="5:18" x14ac:dyDescent="0.3">
      <c r="E143"/>
      <c r="F143"/>
      <c r="G143"/>
      <c r="H143"/>
      <c r="I143"/>
      <c r="J143"/>
      <c r="K143"/>
      <c r="L143" s="73"/>
      <c r="M143" s="78"/>
      <c r="O143"/>
      <c r="P143"/>
      <c r="Q143"/>
      <c r="R143" s="86"/>
    </row>
    <row r="144" spans="5:18" x14ac:dyDescent="0.3">
      <c r="E144"/>
      <c r="F144"/>
      <c r="G144"/>
      <c r="H144"/>
      <c r="I144"/>
      <c r="J144"/>
      <c r="K144"/>
      <c r="L144" s="73"/>
      <c r="M144" s="78"/>
      <c r="O144"/>
      <c r="P144"/>
      <c r="Q144"/>
      <c r="R144" s="86"/>
    </row>
    <row r="145" spans="5:18" x14ac:dyDescent="0.3">
      <c r="E145"/>
      <c r="F145"/>
      <c r="G145"/>
      <c r="H145"/>
      <c r="I145"/>
      <c r="J145"/>
      <c r="K145"/>
      <c r="L145" s="73"/>
      <c r="M145" s="78"/>
      <c r="O145"/>
      <c r="P145"/>
      <c r="Q145"/>
      <c r="R145" s="86"/>
    </row>
    <row r="146" spans="5:18" x14ac:dyDescent="0.3">
      <c r="E146"/>
      <c r="F146"/>
      <c r="G146"/>
      <c r="H146"/>
      <c r="I146"/>
      <c r="J146"/>
      <c r="K146"/>
      <c r="L146" s="73"/>
      <c r="M146" s="78"/>
      <c r="O146"/>
      <c r="P146"/>
      <c r="Q146"/>
      <c r="R146" s="86"/>
    </row>
    <row r="147" spans="5:18" x14ac:dyDescent="0.3">
      <c r="E147"/>
      <c r="F147"/>
      <c r="G147"/>
      <c r="H147"/>
      <c r="I147"/>
      <c r="J147"/>
      <c r="K147"/>
      <c r="L147" s="73"/>
      <c r="M147" s="78"/>
      <c r="O147"/>
      <c r="P147"/>
      <c r="Q147"/>
      <c r="R147" s="86"/>
    </row>
    <row r="148" spans="5:18" x14ac:dyDescent="0.3">
      <c r="E148"/>
      <c r="F148"/>
      <c r="G148"/>
      <c r="H148"/>
      <c r="I148"/>
      <c r="J148"/>
      <c r="K148"/>
      <c r="L148" s="73"/>
      <c r="M148" s="78"/>
      <c r="O148"/>
      <c r="P148"/>
      <c r="Q148"/>
      <c r="R148" s="86"/>
    </row>
    <row r="149" spans="5:18" x14ac:dyDescent="0.3">
      <c r="E149"/>
      <c r="F149"/>
      <c r="G149"/>
      <c r="H149"/>
      <c r="I149"/>
      <c r="J149"/>
      <c r="K149"/>
      <c r="L149" s="73"/>
      <c r="M149" s="78"/>
      <c r="O149"/>
      <c r="P149"/>
      <c r="Q149"/>
      <c r="R149" s="86"/>
    </row>
    <row r="150" spans="5:18" x14ac:dyDescent="0.3">
      <c r="E150"/>
      <c r="F150"/>
      <c r="G150"/>
      <c r="H150"/>
      <c r="I150"/>
      <c r="J150"/>
      <c r="K150"/>
      <c r="L150" s="73"/>
      <c r="M150" s="78"/>
      <c r="O150"/>
      <c r="P150"/>
      <c r="Q150"/>
      <c r="R150" s="86"/>
    </row>
    <row r="151" spans="5:18" x14ac:dyDescent="0.3">
      <c r="E151"/>
      <c r="F151"/>
      <c r="G151"/>
      <c r="H151"/>
      <c r="I151"/>
      <c r="J151"/>
      <c r="K151"/>
      <c r="L151" s="73"/>
      <c r="M151" s="78"/>
      <c r="O151"/>
      <c r="P151"/>
      <c r="Q151"/>
      <c r="R151" s="86"/>
    </row>
    <row r="152" spans="5:18" x14ac:dyDescent="0.3">
      <c r="E152"/>
      <c r="F152"/>
      <c r="G152"/>
      <c r="H152"/>
      <c r="I152"/>
      <c r="J152"/>
      <c r="K152"/>
      <c r="L152" s="73"/>
      <c r="M152" s="78"/>
      <c r="O152"/>
      <c r="P152"/>
      <c r="Q152"/>
      <c r="R152" s="86"/>
    </row>
    <row r="153" spans="5:18" x14ac:dyDescent="0.3">
      <c r="E153"/>
      <c r="F153"/>
      <c r="G153"/>
      <c r="H153"/>
      <c r="I153"/>
      <c r="J153"/>
      <c r="K153"/>
      <c r="L153" s="73"/>
      <c r="M153" s="78"/>
      <c r="O153"/>
      <c r="P153"/>
      <c r="Q153"/>
      <c r="R153" s="86"/>
    </row>
    <row r="154" spans="5:18" x14ac:dyDescent="0.3">
      <c r="E154"/>
      <c r="F154"/>
      <c r="G154"/>
      <c r="H154"/>
      <c r="I154"/>
      <c r="J154"/>
      <c r="K154"/>
      <c r="L154" s="73"/>
      <c r="M154" s="78"/>
      <c r="O154"/>
      <c r="P154"/>
      <c r="Q154"/>
      <c r="R154" s="86"/>
    </row>
    <row r="155" spans="5:18" x14ac:dyDescent="0.3">
      <c r="E155"/>
      <c r="F155"/>
      <c r="G155"/>
      <c r="H155"/>
      <c r="I155"/>
      <c r="J155"/>
      <c r="K155"/>
      <c r="L155" s="73"/>
      <c r="M155" s="78"/>
      <c r="O155"/>
      <c r="P155"/>
      <c r="Q155"/>
      <c r="R155" s="86"/>
    </row>
    <row r="156" spans="5:18" x14ac:dyDescent="0.3">
      <c r="E156"/>
      <c r="F156"/>
      <c r="G156"/>
      <c r="H156"/>
      <c r="I156"/>
      <c r="J156"/>
      <c r="K156"/>
      <c r="L156" s="73"/>
      <c r="M156" s="78"/>
      <c r="O156"/>
      <c r="P156"/>
      <c r="Q156"/>
      <c r="R156" s="86"/>
    </row>
    <row r="157" spans="5:18" x14ac:dyDescent="0.3">
      <c r="E157"/>
      <c r="F157"/>
      <c r="G157"/>
      <c r="H157"/>
      <c r="I157"/>
      <c r="J157"/>
      <c r="K157"/>
      <c r="L157" s="73"/>
      <c r="M157" s="78"/>
      <c r="O157"/>
      <c r="P157"/>
      <c r="Q157"/>
      <c r="R157" s="86"/>
    </row>
    <row r="158" spans="5:18" x14ac:dyDescent="0.3">
      <c r="E158"/>
      <c r="F158"/>
      <c r="G158"/>
      <c r="H158"/>
      <c r="I158"/>
      <c r="J158"/>
      <c r="K158"/>
      <c r="L158" s="73"/>
      <c r="M158" s="78"/>
      <c r="O158"/>
      <c r="P158"/>
      <c r="Q158"/>
      <c r="R158" s="86"/>
    </row>
    <row r="159" spans="5:18" x14ac:dyDescent="0.3">
      <c r="E159"/>
      <c r="F159"/>
      <c r="G159"/>
      <c r="H159"/>
      <c r="I159"/>
      <c r="J159"/>
      <c r="K159"/>
      <c r="L159" s="73"/>
      <c r="M159" s="78"/>
      <c r="O159"/>
      <c r="P159"/>
      <c r="Q159"/>
      <c r="R159" s="86"/>
    </row>
    <row r="160" spans="5:18" x14ac:dyDescent="0.3">
      <c r="E160"/>
      <c r="F160"/>
      <c r="G160"/>
      <c r="H160"/>
      <c r="I160"/>
      <c r="J160"/>
      <c r="K160"/>
      <c r="L160" s="73"/>
      <c r="M160" s="78"/>
      <c r="O160"/>
      <c r="P160"/>
      <c r="Q160"/>
      <c r="R160" s="86"/>
    </row>
    <row r="161" spans="5:18" x14ac:dyDescent="0.3">
      <c r="E161"/>
      <c r="F161"/>
      <c r="G161"/>
      <c r="H161"/>
      <c r="I161"/>
      <c r="J161"/>
      <c r="K161"/>
      <c r="L161" s="73"/>
      <c r="M161" s="78"/>
      <c r="O161"/>
      <c r="P161"/>
      <c r="Q161"/>
      <c r="R161" s="86"/>
    </row>
    <row r="162" spans="5:18" x14ac:dyDescent="0.3">
      <c r="E162"/>
      <c r="F162"/>
      <c r="G162"/>
      <c r="H162"/>
      <c r="I162"/>
      <c r="J162"/>
      <c r="K162"/>
      <c r="L162" s="73"/>
      <c r="M162" s="78"/>
      <c r="O162"/>
      <c r="P162"/>
      <c r="Q162"/>
      <c r="R162" s="86"/>
    </row>
    <row r="163" spans="5:18" x14ac:dyDescent="0.3">
      <c r="E163"/>
      <c r="F163"/>
      <c r="G163"/>
      <c r="H163"/>
      <c r="I163"/>
      <c r="J163"/>
      <c r="K163"/>
      <c r="L163" s="73"/>
      <c r="M163" s="78"/>
      <c r="O163"/>
      <c r="P163"/>
      <c r="Q163"/>
      <c r="R163" s="86"/>
    </row>
    <row r="164" spans="5:18" x14ac:dyDescent="0.3">
      <c r="E164"/>
      <c r="F164"/>
      <c r="G164"/>
      <c r="H164"/>
      <c r="I164"/>
      <c r="J164"/>
      <c r="K164"/>
      <c r="L164" s="73"/>
      <c r="M164" s="78"/>
      <c r="O164"/>
      <c r="P164"/>
      <c r="Q164"/>
      <c r="R164" s="86"/>
    </row>
    <row r="165" spans="5:18" x14ac:dyDescent="0.3">
      <c r="E165"/>
      <c r="F165"/>
      <c r="G165"/>
      <c r="H165"/>
      <c r="I165"/>
      <c r="J165"/>
      <c r="K165"/>
      <c r="L165" s="73"/>
      <c r="M165" s="78"/>
      <c r="O165"/>
      <c r="P165"/>
      <c r="Q165"/>
      <c r="R165" s="86"/>
    </row>
    <row r="166" spans="5:18" x14ac:dyDescent="0.3">
      <c r="E166"/>
      <c r="F166"/>
      <c r="G166"/>
      <c r="H166"/>
      <c r="I166"/>
      <c r="J166"/>
      <c r="K166"/>
      <c r="L166" s="73"/>
      <c r="M166" s="78"/>
      <c r="O166"/>
      <c r="P166"/>
      <c r="Q166"/>
      <c r="R166" s="86"/>
    </row>
    <row r="167" spans="5:18" x14ac:dyDescent="0.3">
      <c r="E167"/>
      <c r="F167"/>
      <c r="G167"/>
      <c r="H167"/>
      <c r="I167"/>
      <c r="J167"/>
      <c r="K167"/>
      <c r="L167" s="73"/>
      <c r="M167" s="78"/>
      <c r="O167"/>
      <c r="P167"/>
      <c r="Q167"/>
      <c r="R167" s="86"/>
    </row>
    <row r="168" spans="5:18" x14ac:dyDescent="0.3">
      <c r="E168"/>
      <c r="F168"/>
      <c r="G168"/>
      <c r="H168"/>
      <c r="I168"/>
      <c r="J168"/>
      <c r="K168"/>
      <c r="L168" s="73"/>
      <c r="M168" s="78"/>
      <c r="O168"/>
      <c r="P168"/>
      <c r="Q168"/>
      <c r="R168" s="86"/>
    </row>
    <row r="169" spans="5:18" x14ac:dyDescent="0.3">
      <c r="E169"/>
      <c r="F169"/>
      <c r="G169"/>
      <c r="H169"/>
      <c r="I169"/>
      <c r="J169"/>
      <c r="K169"/>
      <c r="L169" s="73"/>
      <c r="M169" s="78"/>
      <c r="O169"/>
      <c r="P169"/>
      <c r="Q169"/>
      <c r="R169" s="86"/>
    </row>
    <row r="170" spans="5:18" x14ac:dyDescent="0.3">
      <c r="E170"/>
      <c r="F170"/>
      <c r="G170"/>
      <c r="H170"/>
      <c r="I170"/>
      <c r="J170"/>
      <c r="K170"/>
      <c r="L170" s="73"/>
      <c r="M170" s="78"/>
      <c r="O170"/>
      <c r="P170"/>
      <c r="Q170"/>
      <c r="R170" s="86"/>
    </row>
    <row r="171" spans="5:18" x14ac:dyDescent="0.3">
      <c r="E171"/>
      <c r="F171"/>
      <c r="G171"/>
      <c r="H171"/>
      <c r="I171"/>
      <c r="J171"/>
      <c r="K171"/>
      <c r="L171" s="73"/>
      <c r="M171" s="78"/>
      <c r="O171"/>
      <c r="P171"/>
      <c r="Q171"/>
      <c r="R171" s="86"/>
    </row>
    <row r="172" spans="5:18" x14ac:dyDescent="0.3">
      <c r="E172"/>
      <c r="F172"/>
      <c r="G172"/>
      <c r="H172"/>
      <c r="I172"/>
      <c r="J172"/>
      <c r="K172"/>
      <c r="L172" s="73"/>
      <c r="M172" s="78"/>
      <c r="O172"/>
      <c r="P172"/>
      <c r="Q172"/>
      <c r="R172" s="86"/>
    </row>
    <row r="173" spans="5:18" x14ac:dyDescent="0.3">
      <c r="E173"/>
      <c r="F173"/>
      <c r="G173"/>
      <c r="H173"/>
      <c r="I173"/>
      <c r="J173"/>
      <c r="K173"/>
      <c r="L173" s="73"/>
      <c r="M173" s="78"/>
      <c r="O173"/>
      <c r="P173"/>
      <c r="Q173"/>
      <c r="R173" s="86"/>
    </row>
    <row r="174" spans="5:18" x14ac:dyDescent="0.3">
      <c r="E174"/>
      <c r="F174"/>
      <c r="G174"/>
      <c r="H174"/>
      <c r="I174"/>
      <c r="J174"/>
      <c r="K174"/>
      <c r="L174" s="73"/>
      <c r="M174" s="78"/>
      <c r="O174"/>
      <c r="P174"/>
      <c r="Q174"/>
      <c r="R174" s="86"/>
    </row>
    <row r="175" spans="5:18" x14ac:dyDescent="0.3">
      <c r="E175"/>
      <c r="F175"/>
      <c r="G175"/>
      <c r="H175"/>
      <c r="I175"/>
      <c r="J175"/>
      <c r="K175"/>
      <c r="L175" s="73"/>
      <c r="M175" s="78"/>
      <c r="O175"/>
      <c r="P175"/>
      <c r="Q175"/>
      <c r="R175" s="86"/>
    </row>
    <row r="176" spans="5:18" x14ac:dyDescent="0.3">
      <c r="E176"/>
      <c r="F176"/>
      <c r="G176"/>
      <c r="H176"/>
      <c r="I176"/>
      <c r="J176"/>
      <c r="K176"/>
      <c r="L176" s="73"/>
      <c r="M176" s="78"/>
      <c r="O176"/>
      <c r="P176"/>
      <c r="Q176"/>
      <c r="R176" s="86"/>
    </row>
    <row r="177" spans="5:18" x14ac:dyDescent="0.3">
      <c r="E177"/>
      <c r="F177"/>
      <c r="G177"/>
      <c r="H177"/>
      <c r="I177"/>
      <c r="J177"/>
      <c r="K177"/>
      <c r="L177" s="73"/>
      <c r="M177" s="78"/>
      <c r="O177"/>
      <c r="P177"/>
      <c r="Q177"/>
      <c r="R177" s="86"/>
    </row>
    <row r="178" spans="5:18" x14ac:dyDescent="0.3">
      <c r="E178"/>
      <c r="F178"/>
      <c r="G178"/>
      <c r="H178"/>
      <c r="I178"/>
      <c r="J178"/>
      <c r="K178"/>
      <c r="L178" s="73"/>
      <c r="M178" s="78"/>
      <c r="O178"/>
      <c r="P178"/>
      <c r="Q178"/>
      <c r="R178" s="86"/>
    </row>
    <row r="179" spans="5:18" x14ac:dyDescent="0.3">
      <c r="E179"/>
      <c r="F179"/>
      <c r="G179"/>
      <c r="H179"/>
      <c r="I179"/>
      <c r="J179"/>
      <c r="K179"/>
      <c r="L179" s="73"/>
      <c r="M179" s="78"/>
      <c r="O179"/>
      <c r="P179"/>
      <c r="Q179"/>
      <c r="R179" s="86"/>
    </row>
    <row r="180" spans="5:18" x14ac:dyDescent="0.3">
      <c r="E180"/>
      <c r="F180"/>
      <c r="G180"/>
      <c r="H180"/>
      <c r="I180"/>
      <c r="J180"/>
      <c r="K180"/>
      <c r="L180" s="73"/>
      <c r="M180" s="78"/>
      <c r="O180"/>
      <c r="P180"/>
      <c r="Q180"/>
      <c r="R180" s="86"/>
    </row>
    <row r="181" spans="5:18" x14ac:dyDescent="0.3">
      <c r="E181"/>
      <c r="F181"/>
      <c r="G181"/>
      <c r="H181"/>
      <c r="I181"/>
      <c r="J181"/>
      <c r="K181"/>
      <c r="L181" s="73"/>
      <c r="M181" s="78"/>
      <c r="O181"/>
      <c r="P181"/>
      <c r="Q181"/>
      <c r="R181" s="86"/>
    </row>
    <row r="182" spans="5:18" x14ac:dyDescent="0.3">
      <c r="E182"/>
      <c r="F182"/>
      <c r="G182"/>
      <c r="H182"/>
      <c r="I182"/>
      <c r="J182"/>
      <c r="K182"/>
      <c r="L182" s="73"/>
      <c r="M182" s="78"/>
      <c r="O182"/>
      <c r="P182"/>
      <c r="Q182"/>
      <c r="R182" s="86"/>
    </row>
    <row r="183" spans="5:18" x14ac:dyDescent="0.3">
      <c r="E183"/>
      <c r="F183"/>
      <c r="G183"/>
      <c r="H183"/>
      <c r="I183"/>
      <c r="J183"/>
      <c r="K183"/>
      <c r="L183" s="73"/>
      <c r="M183" s="78"/>
      <c r="O183"/>
      <c r="P183"/>
      <c r="Q183"/>
      <c r="R183" s="86"/>
    </row>
    <row r="184" spans="5:18" x14ac:dyDescent="0.3">
      <c r="E184"/>
      <c r="F184"/>
      <c r="G184"/>
      <c r="H184"/>
      <c r="I184"/>
      <c r="J184"/>
      <c r="K184"/>
      <c r="L184" s="73"/>
      <c r="M184" s="78"/>
      <c r="O184"/>
      <c r="P184"/>
      <c r="Q184"/>
      <c r="R184" s="86"/>
    </row>
    <row r="185" spans="5:18" x14ac:dyDescent="0.3">
      <c r="E185"/>
      <c r="F185"/>
      <c r="G185"/>
      <c r="H185"/>
      <c r="I185"/>
      <c r="J185"/>
      <c r="K185"/>
      <c r="L185" s="73"/>
      <c r="M185" s="78"/>
      <c r="O185"/>
      <c r="P185"/>
      <c r="Q185"/>
      <c r="R185" s="86"/>
    </row>
    <row r="186" spans="5:18" x14ac:dyDescent="0.3">
      <c r="E186"/>
      <c r="F186"/>
      <c r="G186"/>
      <c r="H186"/>
      <c r="I186"/>
      <c r="J186"/>
      <c r="K186"/>
      <c r="L186" s="73"/>
      <c r="M186" s="78"/>
      <c r="O186"/>
      <c r="P186"/>
      <c r="Q186"/>
      <c r="R186" s="86"/>
    </row>
    <row r="187" spans="5:18" x14ac:dyDescent="0.3">
      <c r="E187"/>
      <c r="F187"/>
      <c r="G187"/>
      <c r="H187"/>
      <c r="I187"/>
      <c r="J187"/>
      <c r="K187"/>
      <c r="L187" s="73"/>
      <c r="M187" s="78"/>
      <c r="O187"/>
      <c r="P187"/>
      <c r="Q187"/>
      <c r="R187" s="86"/>
    </row>
    <row r="188" spans="5:18" x14ac:dyDescent="0.3">
      <c r="E188"/>
      <c r="F188"/>
      <c r="G188"/>
      <c r="H188"/>
      <c r="I188"/>
      <c r="J188"/>
      <c r="K188"/>
      <c r="L188" s="73"/>
      <c r="M188" s="78"/>
      <c r="O188"/>
      <c r="P188"/>
      <c r="Q188"/>
      <c r="R188" s="86"/>
    </row>
    <row r="189" spans="5:18" x14ac:dyDescent="0.3">
      <c r="E189"/>
      <c r="F189"/>
      <c r="G189"/>
      <c r="H189"/>
      <c r="I189"/>
      <c r="J189"/>
      <c r="K189"/>
      <c r="L189" s="73"/>
      <c r="M189" s="78"/>
      <c r="O189"/>
      <c r="P189"/>
      <c r="Q189"/>
      <c r="R189" s="86"/>
    </row>
    <row r="190" spans="5:18" x14ac:dyDescent="0.3">
      <c r="E190"/>
      <c r="F190"/>
      <c r="G190"/>
      <c r="H190"/>
      <c r="I190"/>
      <c r="J190"/>
      <c r="K190"/>
      <c r="L190" s="73"/>
      <c r="M190" s="78"/>
      <c r="O190"/>
      <c r="P190"/>
      <c r="Q190"/>
      <c r="R190" s="86"/>
    </row>
    <row r="191" spans="5:18" x14ac:dyDescent="0.3">
      <c r="E191"/>
      <c r="F191"/>
      <c r="G191"/>
      <c r="H191"/>
      <c r="I191"/>
      <c r="J191"/>
      <c r="K191"/>
      <c r="L191" s="73"/>
      <c r="M191" s="78"/>
      <c r="O191"/>
      <c r="P191"/>
      <c r="Q191"/>
      <c r="R191" s="86"/>
    </row>
    <row r="192" spans="5:18" x14ac:dyDescent="0.3">
      <c r="E192"/>
      <c r="F192"/>
      <c r="G192"/>
      <c r="H192"/>
      <c r="I192"/>
      <c r="J192"/>
      <c r="K192"/>
      <c r="L192" s="73"/>
      <c r="M192" s="78"/>
      <c r="O192"/>
      <c r="P192"/>
      <c r="Q192"/>
      <c r="R192" s="86"/>
    </row>
    <row r="193" spans="5:18" x14ac:dyDescent="0.3">
      <c r="E193"/>
      <c r="F193"/>
      <c r="G193"/>
      <c r="H193"/>
      <c r="I193"/>
      <c r="J193"/>
      <c r="K193"/>
      <c r="L193" s="73"/>
      <c r="M193" s="78"/>
      <c r="O193"/>
      <c r="P193"/>
      <c r="Q193"/>
      <c r="R193" s="86"/>
    </row>
    <row r="194" spans="5:18" x14ac:dyDescent="0.3">
      <c r="E194"/>
      <c r="F194"/>
      <c r="G194"/>
      <c r="H194"/>
      <c r="I194"/>
      <c r="J194"/>
      <c r="K194"/>
      <c r="L194" s="73"/>
      <c r="M194" s="78"/>
      <c r="O194"/>
      <c r="P194"/>
      <c r="Q194"/>
      <c r="R194" s="86"/>
    </row>
    <row r="195" spans="5:18" x14ac:dyDescent="0.3">
      <c r="E195"/>
      <c r="F195"/>
      <c r="G195"/>
      <c r="H195"/>
      <c r="I195"/>
      <c r="J195"/>
      <c r="K195"/>
      <c r="L195" s="73"/>
      <c r="M195" s="78"/>
      <c r="O195"/>
      <c r="P195"/>
      <c r="Q195"/>
      <c r="R195" s="86"/>
    </row>
    <row r="196" spans="5:18" x14ac:dyDescent="0.3">
      <c r="E196"/>
      <c r="F196"/>
      <c r="G196"/>
      <c r="H196"/>
      <c r="I196"/>
      <c r="J196"/>
      <c r="K196"/>
      <c r="L196" s="73"/>
      <c r="M196" s="78"/>
      <c r="O196"/>
      <c r="P196"/>
      <c r="Q196"/>
      <c r="R196" s="86"/>
    </row>
    <row r="197" spans="5:18" x14ac:dyDescent="0.3">
      <c r="E197"/>
      <c r="F197"/>
      <c r="G197"/>
      <c r="H197"/>
      <c r="I197"/>
      <c r="J197"/>
      <c r="K197"/>
      <c r="L197" s="73"/>
      <c r="M197" s="78"/>
      <c r="O197"/>
      <c r="P197"/>
      <c r="Q197"/>
      <c r="R197" s="86"/>
    </row>
    <row r="198" spans="5:18" x14ac:dyDescent="0.3">
      <c r="E198"/>
      <c r="F198"/>
      <c r="G198"/>
      <c r="H198"/>
      <c r="I198"/>
      <c r="J198"/>
      <c r="K198"/>
      <c r="L198" s="73"/>
      <c r="M198" s="78"/>
      <c r="O198"/>
      <c r="P198"/>
      <c r="Q198"/>
      <c r="R198" s="86"/>
    </row>
    <row r="199" spans="5:18" x14ac:dyDescent="0.3">
      <c r="E199"/>
      <c r="F199"/>
      <c r="G199"/>
      <c r="H199"/>
      <c r="I199"/>
      <c r="J199"/>
      <c r="K199"/>
      <c r="L199" s="73"/>
      <c r="M199" s="78"/>
      <c r="O199"/>
      <c r="P199"/>
      <c r="Q199"/>
      <c r="R199" s="86"/>
    </row>
    <row r="200" spans="5:18" x14ac:dyDescent="0.3">
      <c r="E200"/>
      <c r="F200"/>
      <c r="G200"/>
      <c r="H200"/>
      <c r="I200"/>
      <c r="J200"/>
      <c r="K200"/>
      <c r="L200" s="73"/>
      <c r="M200" s="78"/>
      <c r="O200"/>
      <c r="P200"/>
      <c r="Q200"/>
      <c r="R200" s="86"/>
    </row>
    <row r="201" spans="5:18" x14ac:dyDescent="0.3">
      <c r="E201"/>
      <c r="F201"/>
      <c r="G201"/>
      <c r="H201"/>
      <c r="I201"/>
      <c r="J201"/>
      <c r="K201"/>
      <c r="L201" s="73"/>
      <c r="M201" s="78"/>
      <c r="O201"/>
      <c r="P201"/>
      <c r="Q201"/>
      <c r="R201" s="86"/>
    </row>
  </sheetData>
  <mergeCells count="41">
    <mergeCell ref="AL27:AM27"/>
    <mergeCell ref="AL28:AM28"/>
    <mergeCell ref="AF2:AF3"/>
    <mergeCell ref="AG2:AG3"/>
    <mergeCell ref="AH2:AH3"/>
    <mergeCell ref="AI2:AI3"/>
    <mergeCell ref="AK2:AL3"/>
    <mergeCell ref="AB4:AC4"/>
    <mergeCell ref="AD4:AE4"/>
    <mergeCell ref="Z2:Z3"/>
    <mergeCell ref="AA2:AA3"/>
    <mergeCell ref="AB2:AC3"/>
    <mergeCell ref="AD2:AE3"/>
    <mergeCell ref="AK1:AX1"/>
    <mergeCell ref="AU2:AU3"/>
    <mergeCell ref="AV2:AV3"/>
    <mergeCell ref="AW2:AW3"/>
    <mergeCell ref="AX2:AX3"/>
    <mergeCell ref="AS2:AT3"/>
    <mergeCell ref="AQ4:AR4"/>
    <mergeCell ref="AS4:AT4"/>
    <mergeCell ref="AK4:AL4"/>
    <mergeCell ref="AM2:AN3"/>
    <mergeCell ref="AO2:AP3"/>
    <mergeCell ref="AQ2:AR3"/>
    <mergeCell ref="AO21:AS21"/>
    <mergeCell ref="Z1:AH1"/>
    <mergeCell ref="AO11:AV11"/>
    <mergeCell ref="AO12:AQ12"/>
    <mergeCell ref="AT12:AU12"/>
    <mergeCell ref="AO13:AQ13"/>
    <mergeCell ref="AT13:AU13"/>
    <mergeCell ref="AO9:AP9"/>
    <mergeCell ref="AQ9:AR9"/>
    <mergeCell ref="AS9:AT9"/>
    <mergeCell ref="AO8:AP8"/>
    <mergeCell ref="AQ8:AR8"/>
    <mergeCell ref="AS8:AT8"/>
    <mergeCell ref="AO7:AT7"/>
    <mergeCell ref="AM4:AN4"/>
    <mergeCell ref="AO4:AP4"/>
  </mergeCells>
  <conditionalFormatting sqref="L2:L71">
    <cfRule type="cellIs" dxfId="12" priority="8" operator="greaterThanOrEqual">
      <formula>95%</formula>
    </cfRule>
    <cfRule type="cellIs" dxfId="11" priority="9" operator="greaterThanOrEqual">
      <formula>90%</formula>
    </cfRule>
    <cfRule type="cellIs" dxfId="10" priority="11" operator="greaterThanOrEqual">
      <formula>85%</formula>
    </cfRule>
  </conditionalFormatting>
  <conditionalFormatting sqref="E2:R71">
    <cfRule type="expression" dxfId="9" priority="5">
      <formula>$Q2:$Q26=0</formula>
    </cfRule>
    <cfRule type="expression" dxfId="8" priority="6">
      <formula>$Q2:$Q26=1</formula>
    </cfRule>
  </conditionalFormatting>
  <conditionalFormatting sqref="M2:M71">
    <cfRule type="cellIs" dxfId="7" priority="7" operator="greaterThanOrEqual">
      <formula>95%</formula>
    </cfRule>
    <cfRule type="cellIs" dxfId="6" priority="10" operator="greaterThanOrEqual">
      <formula>90%</formula>
    </cfRule>
    <cfRule type="cellIs" dxfId="5" priority="12" operator="greaterThanOrEqual">
      <formula>85%</formula>
    </cfRule>
  </conditionalFormatting>
  <conditionalFormatting sqref="U2">
    <cfRule type="iconSet" priority="4">
      <iconSet iconSet="3Arrows">
        <cfvo type="percent" val="0"/>
        <cfvo type="num" val="$V$2"/>
        <cfvo type="num" val="$V$2" gte="0"/>
      </iconSet>
    </cfRule>
  </conditionalFormatting>
  <conditionalFormatting sqref="V2">
    <cfRule type="iconSet" priority="3">
      <iconSet iconSet="3Arrows">
        <cfvo type="percent" val="0"/>
        <cfvo type="num" val="$U$2"/>
        <cfvo type="num" val="$U$2" gte="0"/>
      </iconSet>
    </cfRule>
  </conditionalFormatting>
  <conditionalFormatting sqref="D2:D71">
    <cfRule type="expression" dxfId="4" priority="1">
      <formula>$Q2:$Q26=0</formula>
    </cfRule>
    <cfRule type="expression" dxfId="3" priority="2">
      <formula>$Q2:$Q26=1</formula>
    </cfRule>
  </conditionalFormatting>
  <dataValidations count="1">
    <dataValidation type="list" allowBlank="1" showInputMessage="1" showErrorMessage="1" sqref="O2:O71 AO12:AQ12" xr:uid="{00000000-0002-0000-0900-000000000000}">
      <formula1>ВидСпортаЧемпионат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900-000001000000}">
          <x14:formula1>
            <xm:f>Мастерская!$A$1:$A$6</xm:f>
          </x14:formula1>
          <xm:sqref>E2:E71</xm:sqref>
        </x14:dataValidation>
        <x14:dataValidation type="list" allowBlank="1" showInputMessage="1" showErrorMessage="1" xr:uid="{00000000-0002-0000-0900-000002000000}">
          <x14:formula1>
            <xm:f>Мастерская!$E$1:$E$3</xm:f>
          </x14:formula1>
          <xm:sqref>P2:P71 P202:P1048576</xm:sqref>
        </x14:dataValidation>
        <x14:dataValidation type="list" allowBlank="1" showInputMessage="1" showErrorMessage="1" xr:uid="{00000000-0002-0000-0900-000003000000}">
          <x14:formula1>
            <xm:f>Мастерская!$C$1:$C$3</xm:f>
          </x14:formula1>
          <xm:sqref>N2:N71 N202:N1048576</xm:sqref>
        </x14:dataValidation>
        <x14:dataValidation type="list" allowBlank="1" showInputMessage="1" showErrorMessage="1" xr:uid="{00000000-0002-0000-0900-000005000000}">
          <x14:formula1>
            <xm:f>Мастерская!$A:$A</xm:f>
          </x14:formula1>
          <xm:sqref>E202:E1048576</xm:sqref>
        </x14:dataValidation>
        <x14:dataValidation type="list" allowBlank="1" showInputMessage="1" showErrorMessage="1" xr:uid="{00000000-0002-0000-0900-000006000000}">
          <x14:formula1>
            <xm:f>Мастерская!$I:$I</xm:f>
          </x14:formula1>
          <xm:sqref>O202:O1048576</xm:sqref>
        </x14:dataValidation>
        <x14:dataValidation type="list" allowBlank="1" showInputMessage="1" showErrorMessage="1" xr:uid="{983B8437-80F5-4F1E-B1DF-3E64FFBC19FD}">
          <x14:formula1>
            <xm:f>Мастерская!$B$1:$B$23</xm:f>
          </x14:formula1>
          <xm:sqref>D2:D71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3"/>
  <dimension ref="A1:AJ9"/>
  <sheetViews>
    <sheetView zoomScale="80" zoomScaleNormal="80" workbookViewId="0">
      <selection activeCell="A6" sqref="A6:V8"/>
    </sheetView>
  </sheetViews>
  <sheetFormatPr defaultRowHeight="14.4" x14ac:dyDescent="0.3"/>
  <cols>
    <col min="3" max="3" width="11.5546875" customWidth="1"/>
    <col min="5" max="5" width="11.6640625" customWidth="1"/>
    <col min="16" max="16" width="15.88671875" customWidth="1"/>
    <col min="17" max="18" width="15.6640625" customWidth="1"/>
    <col min="19" max="19" width="15.33203125" customWidth="1"/>
    <col min="20" max="20" width="15.5546875" customWidth="1"/>
    <col min="21" max="21" width="15.33203125" customWidth="1"/>
    <col min="22" max="22" width="15.109375" customWidth="1"/>
    <col min="24" max="24" width="10.33203125" customWidth="1"/>
    <col min="25" max="25" width="10.109375" customWidth="1"/>
  </cols>
  <sheetData>
    <row r="1" spans="1:36" ht="31.5" customHeight="1" thickTop="1" thickBot="1" x14ac:dyDescent="0.35">
      <c r="A1" s="80" t="s">
        <v>14</v>
      </c>
      <c r="B1" s="11" t="s">
        <v>68</v>
      </c>
      <c r="C1" s="11" t="s">
        <v>69</v>
      </c>
      <c r="D1" s="11" t="s">
        <v>13</v>
      </c>
      <c r="E1" s="11" t="s">
        <v>70</v>
      </c>
      <c r="F1" s="12" t="s">
        <v>71</v>
      </c>
      <c r="H1" s="148" t="s">
        <v>88</v>
      </c>
      <c r="I1" s="149"/>
      <c r="J1" s="149"/>
      <c r="K1" s="149"/>
      <c r="L1" s="149"/>
      <c r="M1" s="149"/>
      <c r="N1" s="149"/>
      <c r="O1" s="149"/>
      <c r="P1" s="149"/>
      <c r="Q1" s="150"/>
      <c r="S1" s="148" t="s">
        <v>65</v>
      </c>
      <c r="T1" s="149"/>
      <c r="U1" s="149"/>
      <c r="V1" s="150"/>
      <c r="X1" s="143" t="s">
        <v>244</v>
      </c>
      <c r="Y1" s="108"/>
    </row>
    <row r="2" spans="1:36" ht="16.5" customHeight="1" thickTop="1" thickBot="1" x14ac:dyDescent="0.35">
      <c r="A2" s="81">
        <f>'1 касса'!T2+'2 касса'!T2+'3 касса'!T2+'4 касса'!T2+'5 касса'!T2+'6 касса'!T2+'7 касса'!T2+'8 касса'!T2+'9 касса'!T2+'10 касса'!T2</f>
        <v>0</v>
      </c>
      <c r="B2" s="82">
        <f>'1 касса'!U2+'2 касса'!U2+'3 касса'!U2+'4 касса'!U2+'5 касса'!U2+'6 касса'!U2+'7 касса'!U2+'8 касса'!U2+'9 касса'!U2+'10 касса'!U2</f>
        <v>0</v>
      </c>
      <c r="C2" s="82">
        <f>'1 касса'!V2+'2 касса'!V2+'3 касса'!V2+'4 касса'!V2+'5 касса'!V2+'6 касса'!V2+'7 касса'!V2+'8 касса'!V2+'9 касса'!V2+'10 касса'!V2</f>
        <v>0</v>
      </c>
      <c r="D2" s="84" t="e">
        <f>B2/A2</f>
        <v>#DIV/0!</v>
      </c>
      <c r="E2" s="84" t="e">
        <f>1-D2</f>
        <v>#DIV/0!</v>
      </c>
      <c r="F2" s="83">
        <f>MAX(Мастерская!L2:U2)</f>
        <v>0</v>
      </c>
      <c r="H2" s="227" t="s">
        <v>84</v>
      </c>
      <c r="I2" s="223"/>
      <c r="J2" s="223" t="s">
        <v>85</v>
      </c>
      <c r="K2" s="223"/>
      <c r="L2" s="221" t="s">
        <v>86</v>
      </c>
      <c r="M2" s="221"/>
      <c r="N2" s="223" t="s">
        <v>87</v>
      </c>
      <c r="O2" s="224"/>
      <c r="P2" s="156" t="s">
        <v>123</v>
      </c>
      <c r="Q2" s="219"/>
      <c r="S2" s="190" t="s">
        <v>2</v>
      </c>
      <c r="T2" s="156" t="s">
        <v>10</v>
      </c>
      <c r="U2" s="157"/>
      <c r="V2" s="215" t="s">
        <v>4</v>
      </c>
      <c r="X2" s="142" cm="1">
        <f t="array" ref="X2">SUM('1 касса'!AL28:AM28+'2 касса'!AL28:AM28+'3 касса'!AL28:AM28+'4 касса'!AL28:AM28+'5 касса'!AL28:AM28+'6 касса'!AL28:AM28+'7 касса'!AL28:AM28+'8 касса'!AL28:AM28+'9 касса'!AL28:AM28+'10 касса'!AL28:AM28)</f>
        <v>0</v>
      </c>
      <c r="AB2" s="108"/>
      <c r="AC2" s="108"/>
      <c r="AD2" s="108"/>
      <c r="AE2" s="108"/>
      <c r="AF2" s="108"/>
    </row>
    <row r="3" spans="1:36" x14ac:dyDescent="0.3">
      <c r="H3" s="228"/>
      <c r="I3" s="225"/>
      <c r="J3" s="225"/>
      <c r="K3" s="225"/>
      <c r="L3" s="222"/>
      <c r="M3" s="222"/>
      <c r="N3" s="225"/>
      <c r="O3" s="226"/>
      <c r="P3" s="158"/>
      <c r="Q3" s="220"/>
      <c r="S3" s="191"/>
      <c r="T3" s="158"/>
      <c r="U3" s="159"/>
      <c r="V3" s="216"/>
      <c r="AB3" s="108"/>
      <c r="AC3" s="108"/>
      <c r="AD3" s="108"/>
      <c r="AE3" s="108"/>
      <c r="AF3" s="108"/>
    </row>
    <row r="4" spans="1:36" ht="16.5" customHeight="1" thickBot="1" x14ac:dyDescent="0.35">
      <c r="H4" s="162">
        <f>MAX('1 касса'!F2:F1048576, '2 касса'!F2:F1048576, '3 касса'!F2:F1048576, '4 касса'!F2:F1048576, '5 касса'!F2:F1048576, '6 касса'!F2:F1048576, '7 касса'!F2:F1048576, '8 касса'!F2:F1048576, '9 касса'!F2:F1048576, '10 касса'!F2:F1048576)</f>
        <v>0</v>
      </c>
      <c r="I4" s="163"/>
      <c r="J4" s="164">
        <f>MIN('1 касса'!F2:F1048576, '2 касса'!F2:F1048576, '3 касса'!F2:F1048576, '4 касса'!F2:F1048576, '5 касса'!F2:F1048576, '6 касса'!F2:F1048576, '7 касса'!F2:F1048576, '8 касса'!F2:F1048576, '9 касса'!F2:F1048576, '10 касса'!F2:F1048576)</f>
        <v>0</v>
      </c>
      <c r="K4" s="163"/>
      <c r="L4" s="183">
        <f>MAX('1 касса'!I2:I1048576, '2 касса'!I2:I1048576, '3 касса'!I2:I1048576, '4 касса'!I2:I1048576, '5 касса'!I2:I1048576, '6 касса'!I2:I1048576, '7 касса'!I2:I1048576, '8 касса'!I2:I1048576, '9 касса'!I2:I1048576, '10 касса'!I2:I1048576)</f>
        <v>0</v>
      </c>
      <c r="M4" s="163"/>
      <c r="N4" s="183">
        <f>MIN('1 касса'!I2:I1048576, '2 касса'!I2:I1048576, '3 касса'!I2:I1048576, '4 касса'!I2:I1048576, '5 касса'!I2:I1048576, '6 касса'!I2:I1048576, '7 касса'!I2:I1048576, '8 касса'!I2:I1048576, '9 касса'!I2:I1048576, '10 касса'!I2:I1048576)</f>
        <v>0</v>
      </c>
      <c r="O4" s="217"/>
      <c r="P4" s="177">
        <f>MAX('1 касса'!J2:J1048576, '2 касса'!J2:J1048576, '3 касса'!J2:J1048576, '4 касса'!J2:J1048576, '5 касса'!J2:J1048576, '6 касса'!J2:J1048576, '7 касса'!J2:J1048576, '8 касса'!J2:J1048576, '9 касса'!J2:J1048576, '10 касса'!J2:J1048576)</f>
        <v>0</v>
      </c>
      <c r="Q4" s="218"/>
      <c r="S4" s="109" t="e">
        <f>AVERAGE('1 касса'!F2:F1048576,'2 касса'!F2:F1048576, '3 касса'!F2:F1048576, '4 касса'!F2:F1048576, '5 касса'!F2:F1048576, '6 касса'!F2:F1048576, '7 касса'!F2:F1048576, '8 касса'!F2:F1048576, '9 касса'!F2:F1048576, '10 касса'!F2:F1048576)</f>
        <v>#DIV/0!</v>
      </c>
      <c r="T4" s="213" t="e">
        <f>AVERAGE('1 касса'!G2:G1048576,'2 касса'!G2:G1048576, '3 касса'!G2:G1048576, '4 касса'!G2:G1048576, '5 касса'!G2:G1048576, '6 касса'!G2:G1048576, '7 касса'!G2:G1048576, '8 касса'!G2:G1048576, '9 касса'!G2:G1048576, '10 касса'!G2:G1048576)</f>
        <v>#DIV/0!</v>
      </c>
      <c r="U4" s="214"/>
      <c r="V4" s="117" t="e">
        <f>AVERAGE('1 касса'!I2:I1048576,'2 касса'!I2:I1048576, '3 касса'!I2:I1048576, '4 касса'!I2:I1048576, '5 касса'!I2:I1048576, '6 касса'!I2:I1048576, '7 касса'!I2:I1048576, '8 касса'!I2:I1048576, '9 касса'!I2:I1048576, '10 касса'!I2:I1048576)</f>
        <v>#DIV/0!</v>
      </c>
      <c r="AD4" s="108"/>
      <c r="AE4" s="108"/>
      <c r="AF4" s="108"/>
      <c r="AG4" s="108"/>
      <c r="AH4" s="108"/>
    </row>
    <row r="5" spans="1:36" ht="15" thickBot="1" x14ac:dyDescent="0.35">
      <c r="AB5" s="108"/>
      <c r="AC5" s="108"/>
      <c r="AD5" s="108"/>
      <c r="AE5" s="108"/>
      <c r="AF5" s="108"/>
      <c r="AG5" s="108"/>
      <c r="AH5" s="108"/>
    </row>
    <row r="6" spans="1:36" ht="15" customHeight="1" x14ac:dyDescent="0.3">
      <c r="A6" s="204" t="s">
        <v>245</v>
      </c>
      <c r="B6" s="205"/>
      <c r="C6" s="205"/>
      <c r="D6" s="205"/>
      <c r="E6" s="205"/>
      <c r="F6" s="205"/>
      <c r="G6" s="205"/>
      <c r="H6" s="205"/>
      <c r="I6" s="205"/>
      <c r="J6" s="205"/>
      <c r="K6" s="205"/>
      <c r="L6" s="205"/>
      <c r="M6" s="205"/>
      <c r="N6" s="205"/>
      <c r="O6" s="205"/>
      <c r="P6" s="205"/>
      <c r="Q6" s="205"/>
      <c r="R6" s="205"/>
      <c r="S6" s="205"/>
      <c r="T6" s="205"/>
      <c r="U6" s="205"/>
      <c r="V6" s="206"/>
      <c r="AB6" s="108"/>
      <c r="AC6" s="108"/>
      <c r="AI6" s="108"/>
      <c r="AJ6" s="108"/>
    </row>
    <row r="7" spans="1:36" x14ac:dyDescent="0.3">
      <c r="A7" s="207"/>
      <c r="B7" s="208"/>
      <c r="C7" s="208"/>
      <c r="D7" s="208"/>
      <c r="E7" s="208"/>
      <c r="F7" s="208"/>
      <c r="G7" s="208"/>
      <c r="H7" s="208"/>
      <c r="I7" s="208"/>
      <c r="J7" s="208"/>
      <c r="K7" s="208"/>
      <c r="L7" s="208"/>
      <c r="M7" s="208"/>
      <c r="N7" s="208"/>
      <c r="O7" s="208"/>
      <c r="P7" s="208"/>
      <c r="Q7" s="208"/>
      <c r="R7" s="208"/>
      <c r="S7" s="208"/>
      <c r="T7" s="208"/>
      <c r="U7" s="208"/>
      <c r="V7" s="209"/>
      <c r="AB7" s="108"/>
      <c r="AC7" s="108"/>
      <c r="AI7" s="108"/>
      <c r="AJ7" s="108"/>
    </row>
    <row r="8" spans="1:36" ht="15" thickBot="1" x14ac:dyDescent="0.35">
      <c r="A8" s="210"/>
      <c r="B8" s="211"/>
      <c r="C8" s="211"/>
      <c r="D8" s="211"/>
      <c r="E8" s="211"/>
      <c r="F8" s="211"/>
      <c r="G8" s="211"/>
      <c r="H8" s="211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211"/>
      <c r="U8" s="211"/>
      <c r="V8" s="212"/>
      <c r="AA8" s="108"/>
      <c r="AB8" s="108"/>
      <c r="AC8" s="108"/>
      <c r="AI8" s="108"/>
      <c r="AJ8" s="108"/>
    </row>
    <row r="9" spans="1:36" x14ac:dyDescent="0.3">
      <c r="A9" s="108"/>
      <c r="B9" s="108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108"/>
      <c r="S9" s="108"/>
      <c r="T9" s="108"/>
      <c r="U9" s="108"/>
      <c r="V9" s="108"/>
      <c r="W9" s="108"/>
      <c r="X9" s="108"/>
      <c r="Y9" s="108"/>
      <c r="Z9" s="108"/>
      <c r="AI9" s="108"/>
      <c r="AJ9" s="108"/>
    </row>
  </sheetData>
  <mergeCells count="17">
    <mergeCell ref="S1:V1"/>
    <mergeCell ref="H1:Q1"/>
    <mergeCell ref="A6:V8"/>
    <mergeCell ref="T4:U4"/>
    <mergeCell ref="S2:S3"/>
    <mergeCell ref="T2:U3"/>
    <mergeCell ref="V2:V3"/>
    <mergeCell ref="H4:I4"/>
    <mergeCell ref="J4:K4"/>
    <mergeCell ref="L4:M4"/>
    <mergeCell ref="N4:O4"/>
    <mergeCell ref="P4:Q4"/>
    <mergeCell ref="P2:Q3"/>
    <mergeCell ref="L2:M3"/>
    <mergeCell ref="N2:O3"/>
    <mergeCell ref="H2:I3"/>
    <mergeCell ref="J2:K3"/>
  </mergeCells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2"/>
  <dimension ref="A1:U104"/>
  <sheetViews>
    <sheetView workbookViewId="0"/>
  </sheetViews>
  <sheetFormatPr defaultRowHeight="14.4" x14ac:dyDescent="0.3"/>
  <cols>
    <col min="1" max="1" width="19.6640625" customWidth="1"/>
    <col min="2" max="2" width="32.88671875" customWidth="1"/>
    <col min="3" max="3" width="10.88671875" customWidth="1"/>
    <col min="5" max="5" width="12.109375" customWidth="1"/>
    <col min="9" max="9" width="53.44140625" customWidth="1"/>
  </cols>
  <sheetData>
    <row r="1" spans="1:21" ht="15" customHeight="1" x14ac:dyDescent="0.3">
      <c r="A1" t="s">
        <v>16</v>
      </c>
      <c r="B1" t="s">
        <v>180</v>
      </c>
      <c r="C1" t="s">
        <v>178</v>
      </c>
      <c r="E1" t="s">
        <v>15</v>
      </c>
      <c r="G1">
        <v>1</v>
      </c>
      <c r="I1" t="s">
        <v>33</v>
      </c>
      <c r="J1">
        <f>COUNTIFS('1 касса'!O2:O1048576, "Футбол - Лига Чемпионов УЕФА")+COUNTIFS('2 касса'!O2:O1048576, "Футбол - Лига Чемпионов УЕФА")+COUNTIFS('3 касса'!O2:O1048576, "Футбол - Лига Чемпионов УЕФА")+COUNTIFS('4 касса'!O2:O1048576, "Футбол - Лига Чемпионов УЕФА")+COUNTIFS('5 касса'!O2:O1048576, "Футбол - Лига Чемпионов УЕФА")+COUNTIFS('6 касса'!O2:O1048576, "Футбол - Лига Чемпионов УЕФА")+COUNTIFS('7 касса'!O2:O1048576, "Футбол - Лига Чемпионов УЕФА")+COUNTIFS('8 касса'!O2:O1048576, "Футбол - Лига Чемпионов УЕФА")+COUNTIFS('9 касса'!O2:O1048576, "Футбол - Лига Чемпионов УЕФА")+COUNTIFS('10 касса'!O2:O1048576, "Футбол - Лига Чемпионов УЕФА")</f>
        <v>0</v>
      </c>
      <c r="L1" t="s">
        <v>165</v>
      </c>
      <c r="M1" t="s">
        <v>166</v>
      </c>
      <c r="N1" t="s">
        <v>167</v>
      </c>
      <c r="O1" t="s">
        <v>168</v>
      </c>
      <c r="P1" t="s">
        <v>169</v>
      </c>
      <c r="Q1" t="s">
        <v>170</v>
      </c>
      <c r="R1" t="s">
        <v>171</v>
      </c>
      <c r="S1" t="s">
        <v>172</v>
      </c>
      <c r="T1" t="s">
        <v>173</v>
      </c>
      <c r="U1" t="s">
        <v>174</v>
      </c>
    </row>
    <row r="2" spans="1:21" x14ac:dyDescent="0.3">
      <c r="A2" s="27" t="s">
        <v>37</v>
      </c>
      <c r="B2" t="s">
        <v>181</v>
      </c>
      <c r="C2" s="27" t="s">
        <v>17</v>
      </c>
      <c r="E2" s="27" t="s">
        <v>18</v>
      </c>
      <c r="G2">
        <v>0</v>
      </c>
      <c r="I2" t="s">
        <v>32</v>
      </c>
      <c r="J2">
        <f>COUNTIFS('1 касса'!O2:O1048576, "Футбол - Лига Европы УЕФА")+COUNTIFS('2 касса'!O2:O1048576, "Футбол - Лига Европы УЕФА")+COUNTIFS('3 касса'!O2:O1048576, "Футбол - Лига Европы УЕФА")+COUNTIFS('4 касса'!O2:O1048576, "Футбол - Лига Европы УЕФА")+COUNTIFS('5 касса'!O2:O1048576, "Футбол - Лига Европы УЕФА")+COUNTIFS('6 касса'!O2:O1048576, "Футбол - Лига Европы УЕФА")+COUNTIFS('7 касса'!O2:O1048576, "Футбол - Лига Европы УЕФА")+COUNTIFS('8 касса'!O2:O1048576, "Футбол - Лига Европы УЕФА")+COUNTIFS('9 касса'!O2:O1048576, "Футбол - Лига Европы УЕФА")+COUNTIFS('10 касса'!O2:O1048576, "Футбол - Лига Европы УЕФА")</f>
        <v>0</v>
      </c>
      <c r="L2">
        <f>'1 касса'!U2</f>
        <v>0</v>
      </c>
      <c r="M2">
        <f>'2 касса'!U2</f>
        <v>0</v>
      </c>
      <c r="N2">
        <f>'3 касса'!U2</f>
        <v>0</v>
      </c>
      <c r="O2">
        <f>'4 касса'!U2</f>
        <v>0</v>
      </c>
      <c r="P2">
        <f>'5 касса'!U2</f>
        <v>0</v>
      </c>
      <c r="Q2">
        <f>'6 касса'!U2</f>
        <v>0</v>
      </c>
      <c r="R2">
        <f>'7 касса'!U2</f>
        <v>0</v>
      </c>
      <c r="S2">
        <f>'8 касса'!U2</f>
        <v>0</v>
      </c>
      <c r="T2">
        <f>'9 касса'!U2</f>
        <v>0</v>
      </c>
      <c r="U2">
        <f>'10 касса'!U2</f>
        <v>0</v>
      </c>
    </row>
    <row r="3" spans="1:21" x14ac:dyDescent="0.3">
      <c r="A3" t="s">
        <v>38</v>
      </c>
      <c r="B3" t="s">
        <v>182</v>
      </c>
      <c r="C3" t="s">
        <v>40</v>
      </c>
      <c r="E3" t="s">
        <v>39</v>
      </c>
      <c r="I3" t="s">
        <v>41</v>
      </c>
      <c r="J3">
        <f>COUNTIFS('1 касса'!O2:O1048576, "Футбол - Еврокубки. Другое")+COUNTIFS('2 касса'!O2:O1048576, "Футбол - Еврокубки. Другое")+COUNTIFS('3 касса'!O2:O1048576, "Футбол - Еврокубки. Другое")+COUNTIFS('4 касса'!O2:O1048576, "Футбол - Еврокубки. Другое")+COUNTIFS('5 касса'!O2:O1048576, "Футбол - Еврокубки. Другое")+COUNTIFS('6 касса'!O2:O1048576, "Футбол - Еврокубки. Другое")+COUNTIFS('7 касса'!O2:O1048576, "Футбол - Еврокубки. Другое")+COUNTIFS('8 касса'!O2:O1048576, "Футбол - Еврокубки. Другое")+COUNTIFS('9 касса'!O2:O1048576, "Футбол - Еврокубки. Другое")+COUNTIFS('10 касса'!O2:O1048576, "Футбол - Еврокубки. Другое")</f>
        <v>0</v>
      </c>
    </row>
    <row r="4" spans="1:21" x14ac:dyDescent="0.3">
      <c r="A4" s="27" t="s">
        <v>62</v>
      </c>
      <c r="B4" t="s">
        <v>183</v>
      </c>
      <c r="I4" t="s">
        <v>82</v>
      </c>
      <c r="J4">
        <f>COUNTIFS('1 касса'!O2:O1048576, "Футбол - Россия. РПЛ")+COUNTIFS('2 касса'!O2:O1048576, "Футбол - Россия. РПЛ")+COUNTIFS('3 касса'!O2:O1048576, "Футбол - Россия. РПЛ")+COUNTIFS('4 касса'!O2:O1048576, "Футбол - Россия. РПЛ")+COUNTIFS('5 касса'!O2:O1048576, "Футбол - Россия. РПЛ")+COUNTIFS('6 касса'!O2:O1048576, "Футбол - Россия. РПЛ")+COUNTIFS('7 касса'!O2:O1048576, "Футбол - Россия. РПЛ")+COUNTIFS('8 касса'!O2:O1048576, "Футбол - Россия. РПЛ")+COUNTIFS('9 касса'!O2:O1048576, "Футбол - Россия. РПЛ")+COUNTIFS('10 касса'!O2:O1048576, "Футбол - Россия. РПЛ")</f>
        <v>0</v>
      </c>
    </row>
    <row r="5" spans="1:21" x14ac:dyDescent="0.3">
      <c r="A5" t="s">
        <v>67</v>
      </c>
      <c r="B5" t="s">
        <v>184</v>
      </c>
      <c r="I5" t="s">
        <v>21</v>
      </c>
      <c r="J5">
        <f>COUNTIFS('1 касса'!O2:O1048576, "Футбол - Кубок России")+COUNTIFS('2 касса'!O2:O1048576, "Футбол - Кубок России")+COUNTIFS('3 касса'!O2:O1048576, "Футбол - Кубок России")+COUNTIFS('4 касса'!O2:O1048576, "Футбол - Кубок России")+COUNTIFS('5 касса'!O2:O1048576, "Футбол - Кубок России")+COUNTIFS('6 касса'!O2:O1048576, "Футбол - Кубок России")+COUNTIFS('7 касса'!O2:O1048576, "Футбол - Кубок России")+COUNTIFS('8 касса'!O2:O1048576, "Футбол - Кубок России")+COUNTIFS('9 касса'!O2:O1048576, "Футбол - Кубок России")+COUNTIFS('10 касса'!O2:O1048576, "Футбол - Кубок России")</f>
        <v>0</v>
      </c>
    </row>
    <row r="6" spans="1:21" x14ac:dyDescent="0.3">
      <c r="A6" s="27" t="s">
        <v>26</v>
      </c>
      <c r="B6" t="s">
        <v>185</v>
      </c>
      <c r="I6" t="s">
        <v>25</v>
      </c>
      <c r="J6">
        <f>COUNTIFS('1 касса'!O2:O1048576, "Футбол - Россия. ФНЛ")+COUNTIFS('2 касса'!O2:O1048576, "Футбол - Россия. ФНЛ")+COUNTIFS('3 касса'!O2:O1048576, "Футбол - Россия. ФНЛ")+COUNTIFS('4 касса'!O2:O1048576, "Футбол - Россия. ФНЛ")+COUNTIFS('5 касса'!O2:O1048576, "Футбол - Россия. ФНЛ")+COUNTIFS('6 касса'!O2:O1048576, "Футбол - Россия. ФНЛ")+COUNTIFS('7 касса'!O2:O1048576, "Футбол - Россия. ФНЛ")+COUNTIFS('8 касса'!O2:O1048576, "Футбол - Россия. ФНЛ")+COUNTIFS('9 касса'!O2:O1048576, "Футбол - Россия. ФНЛ")+COUNTIFS('10 касса'!O2:O1048576, "Футбол - Россия. ФНЛ")</f>
        <v>0</v>
      </c>
    </row>
    <row r="7" spans="1:21" x14ac:dyDescent="0.3">
      <c r="B7" t="s">
        <v>186</v>
      </c>
      <c r="I7" t="s">
        <v>83</v>
      </c>
      <c r="J7">
        <f>COUNTIFS('1 касса'!O2:O1048576, "Футбол - Россия. ПФЛ")+COUNTIFS('2 касса'!O2:O1048576, "Футбол - Россия. ПФЛ")+COUNTIFS('3 касса'!O2:O1048576, "Футбол - Россия. ПФЛ")+COUNTIFS('4 касса'!O2:O1048576, "Футбол - Россия. ПФЛ")+COUNTIFS('5 касса'!O2:O1048576, "Футбол - Россия. ПФЛ")+COUNTIFS('6 касса'!O2:O1048576, "Футбол - Россия. ПФЛ")+COUNTIFS('7 касса'!O2:O1048576, "Футбол - Россия. ПФЛ")+COUNTIFS('8 касса'!O2:O1048576, "Футбол - Россия. ПФЛ")+COUNTIFS('9 касса'!O2:O1048576, "Футбол - Россия. ПФЛ")+COUNTIFS('10 касса'!O2:O1048576, "Футбол - Россия. ПФЛ")</f>
        <v>0</v>
      </c>
    </row>
    <row r="8" spans="1:21" x14ac:dyDescent="0.3">
      <c r="B8" t="s">
        <v>187</v>
      </c>
      <c r="I8" t="s">
        <v>36</v>
      </c>
      <c r="J8">
        <f>COUNTIFS('1 касса'!O2:O1048576, "Футбол - Россия. Другое")+COUNTIFS('2 касса'!O2:O1048576, "Футбол - Россия. Другое")+COUNTIFS('3 касса'!O2:O1048576, "Футбол - Россия. Другое")+COUNTIFS('4 касса'!O2:O1048576, "Футбол - Россия. Другое")+COUNTIFS('5 касса'!O2:O1048576, "Футбол - Россия. Другое")+COUNTIFS('6 касса'!O2:O1048576, "Футбол - Россия. Другое")+COUNTIFS('7 касса'!O2:O1048576, "Футбол - Россия. Другое")+COUNTIFS('8 касса'!O2:O1048576, "Футбол - Россия. Другое")+COUNTIFS('9 касса'!O2:O1048576, "Футбол - Россия. Другое")+COUNTIFS('10 касса'!O2:O1048576, "Футбол - Россия. Другое")</f>
        <v>0</v>
      </c>
    </row>
    <row r="9" spans="1:21" x14ac:dyDescent="0.3">
      <c r="B9" t="s">
        <v>188</v>
      </c>
      <c r="I9" t="s">
        <v>81</v>
      </c>
      <c r="J9">
        <f>COUNTIFS('1 касса'!O2:O1048576, "Футбол - Англия. АПЛ")+COUNTIFS('2 касса'!O2:O1048576, "Футбол - Англия. АПЛ")+COUNTIFS('3 касса'!O2:O1048576, "Футбол - Англия. АПЛ")+COUNTIFS('4 касса'!O2:O1048576, "Футбол - Англия. АПЛ")+COUNTIFS('5 касса'!O2:O1048576, "Футбол - Англия. АПЛ")+COUNTIFS('6 касса'!O2:O1048576, "Футбол - Англия. АПЛ")+COUNTIFS('7 касса'!O2:O1048576, "Футбол - Англия. АПЛ")+COUNTIFS('8 касса'!O2:O1048576, "Футбол - Англия. АПЛ")+COUNTIFS('9 касса'!O2:O1048576, "Футбол - Англия. АПЛ")+COUNTIFS('10 касса'!O2:O1048576, "Футбол - Англия. АПЛ")</f>
        <v>0</v>
      </c>
    </row>
    <row r="10" spans="1:21" x14ac:dyDescent="0.3">
      <c r="B10" t="s">
        <v>189</v>
      </c>
      <c r="I10" t="s">
        <v>22</v>
      </c>
      <c r="J10">
        <f>COUNTIFS('1 касса'!O2:O1048576, "Футбол - Англия. Кубок Лиги")+COUNTIFS('2 касса'!O2:O1048576, "Футбол - Англия. Кубок Лиги")+COUNTIFS('3 касса'!O2:O1048576, "Футбол - Англия. Кубок Лиги")+COUNTIFS('4 касса'!O2:O1048576, "Футбол - Англия. Кубок Лиги")+COUNTIFS('5 касса'!O2:O1048576, "Футбол - Англия. Кубок Лиги")+COUNTIFS('6 касса'!O2:O1048576, "Футбол - Англия. Кубок Лиги")+COUNTIFS('7 касса'!O2:O1048576, "Футбол - Англия. Кубок Лиги")+COUNTIFS('8 касса'!O2:O1048576, "Футбол - Англия. Кубок Лиги")+COUNTIFS('9 касса'!O2:O1048576, "Футбол - Англия. Кубок Лиги")+COUNTIFS('10 касса'!O2:O1048576, "Футбол - Англия. Кубок Лиги")</f>
        <v>0</v>
      </c>
    </row>
    <row r="11" spans="1:21" x14ac:dyDescent="0.3">
      <c r="B11" t="s">
        <v>190</v>
      </c>
      <c r="I11" t="s">
        <v>23</v>
      </c>
      <c r="J11">
        <f>COUNTIFS('1 касса'!O2:O1048576, "Футбол - Англия. Кубок Лиги")+COUNTIFS('2 касса'!O2:O1048576, "Футбол - Англия. Кубок Лиги")+COUNTIFS('3 касса'!O2:O1048576, "Футбол - Англия. Кубок Лиги")+COUNTIFS('4 касса'!O2:O1048576, "Футбол - Англия. Кубок Лиги")+COUNTIFS('5 касса'!O2:O1048576, "Футбол - Англия. Кубок Лиги")+COUNTIFS('6 касса'!O2:O1048576, "Футбол - Англия. Кубок Лиги")+COUNTIFS('7 касса'!O2:O1048576, "Футбол - Англия. Кубок Лиги")+COUNTIFS('8 касса'!O2:O1048576, "Футбол - Англия. Кубок Лиги")+COUNTIFS('9 касса'!O2:O1048576, "Футбол - Англия. Кубок Лиги")+COUNTIFS('10 касса'!O2:O1048576, "Футбол - Англия. Кубок Лиги")</f>
        <v>0</v>
      </c>
    </row>
    <row r="12" spans="1:21" x14ac:dyDescent="0.3">
      <c r="B12" t="s">
        <v>191</v>
      </c>
      <c r="I12" t="s">
        <v>24</v>
      </c>
      <c r="J12">
        <f>COUNTIFS('1 касса'!O2:O1048576, "Футбол - Англия. Чемпионшип")+COUNTIFS('2 касса'!O2:O1048576, "Футбол - Англия. Чемпионшип")+COUNTIFS('3 касса'!O2:O1048576, "Футбол - Англия. Чемпионшип")+COUNTIFS('4 касса'!O2:O1048576, "Футбол - Англия. Чемпионшип")+COUNTIFS('5 касса'!O2:O1048576, "Футбол - Англия. Чемпионшип")+COUNTIFS('6 касса'!O2:O1048576, "Футбол - Англия. Чемпионшип")+COUNTIFS('7 касса'!O2:O1048576, "Футбол - Англия. Чемпионшип")+COUNTIFS('8 касса'!O2:O1048576, "Футбол - Англия. Чемпионшип")+COUNTIFS('9 касса'!O2:O1048576, "Футбол - Англия. Чемпионшип")+COUNTIFS('10 касса'!O2:O1048576, "Футбол - Англия. Чемпионшип")</f>
        <v>0</v>
      </c>
    </row>
    <row r="13" spans="1:21" x14ac:dyDescent="0.3">
      <c r="B13" t="s">
        <v>192</v>
      </c>
      <c r="I13" t="s">
        <v>30</v>
      </c>
      <c r="J13">
        <f>COUNTIFS('1 касса'!O2:O1048576, "Футбол - Испания. Ла Лига")+COUNTIFS('2 касса'!O2:O1048576, "Футбол - Испания. Ла Лига")+COUNTIFS('3 касса'!O2:O1048576, "Футбол - Испания. Ла Лига")+COUNTIFS('4 касса'!O2:O1048576, "Футбол - Испания. Ла Лига")+COUNTIFS('5 касса'!O2:O1048576, "Футбол - Испания. Ла Лига")+COUNTIFS('6 касса'!O2:O1048576, "Футбол - Испания. Ла Лига")+COUNTIFS('7 касса'!O2:O1048576, "Футбол - Испания. Ла Лига")+COUNTIFS('8 касса'!O2:O1048576, "Футбол - Испания. Ла Лига")+COUNTIFS('9 касса'!O2:O1048576, "Футбол - Испания. Ла Лига")+COUNTIFS('10 касса'!O2:O1048576, "Футбол - Испания. Ла Лига")</f>
        <v>0</v>
      </c>
    </row>
    <row r="14" spans="1:21" x14ac:dyDescent="0.3">
      <c r="B14" t="s">
        <v>193</v>
      </c>
      <c r="I14" t="s">
        <v>29</v>
      </c>
      <c r="J14">
        <f>COUNTIFS('1 касса'!O2:O1048576, "Футбол - Италия. Серия А")+COUNTIFS('2 касса'!O2:O1048576, "Футбол - Италия. Серия А")+COUNTIFS('3 касса'!O2:O1048576, "Футбол - Италия. Серия А")+COUNTIFS('4 касса'!O2:O1048576, "Футбол - Италия. Серия А")+COUNTIFS('5 касса'!O2:O1048576, "Футбол - Италия. Серия А")+COUNTIFS('6 касса'!O2:O1048576, "Футбол - Италия. Серия А")+COUNTIFS('7 касса'!O2:O1048576, "Футбол - Италия. Серия А")+COUNTIFS('8 касса'!O2:O1048576, "Футбол - Италия. Серия А")+COUNTIFS('9 касса'!O2:O1048576, "Футбол - Италия. Серия А")+COUNTIFS('10 касса'!O2:O1048576, "Футбол - Италия. Серия А")</f>
        <v>0</v>
      </c>
    </row>
    <row r="15" spans="1:21" x14ac:dyDescent="0.3">
      <c r="B15" t="s">
        <v>194</v>
      </c>
      <c r="I15" t="s">
        <v>28</v>
      </c>
      <c r="J15">
        <f>COUNTIFS('1 касса'!O2:O1048576, "Футбол - Германия. Бундеслига")+COUNTIFS('2 касса'!O2:O1048576, "Футбол - Германия. Бундеслига")+COUNTIFS('3 касса'!O2:O1048576, "Футбол - Германия. Бундеслига")+COUNTIFS('4 касса'!O2:O1048576, "Футбол - Германия. Бундеслига")+COUNTIFS('5 касса'!O2:O1048576, "Футбол - Германия. Бундеслига")+COUNTIFS('6 касса'!O2:O1048576, "Футбол - Германия. Бундеслига")+COUNTIFS('7 касса'!O2:O1048576, "Футбол - Германия. Бундеслига")+COUNTIFS('8 касса'!O2:O1048576, "Футбол - Германия. Бундеслига")+COUNTIFS('9 касса'!O2:O1048576, "Футбол - Германия. Бундеслига")+COUNTIFS('10 касса'!O2:O1048576, "Футбол - Германия. Бундеслига")</f>
        <v>0</v>
      </c>
    </row>
    <row r="16" spans="1:21" x14ac:dyDescent="0.3">
      <c r="B16" t="s">
        <v>195</v>
      </c>
      <c r="I16" t="s">
        <v>27</v>
      </c>
      <c r="J16">
        <f>COUNTIFS('1 касса'!O2:O1048576, "Футбол - Франция. Лига 1")+COUNTIFS('2 касса'!O2:O1048576, "Футбол - Франция. Лига 1")+COUNTIFS('3 касса'!O2:O1048576, "Футбол - Франция. Лига 1")+COUNTIFS('4 касса'!O2:O1048576, "Футбол - Франция. Лига 1")+COUNTIFS('5 касса'!O2:O1048576, "Футбол - Франция. Лига 1")+COUNTIFS('6 касса'!O2:O1048576, "Футбол - Франция. Лига 1")+COUNTIFS('7 касса'!O2:O1048576, "Футбол - Франция. Лига 1")+COUNTIFS('8 касса'!O2:O1048576, "Футбол - Франция. Лига 1")+COUNTIFS('9 касса'!O2:O1048576, "Футбол - Франция. Лига 1")+COUNTIFS('10 касса'!O2:O1048576, "Футбол - Франция. Лига 1")</f>
        <v>0</v>
      </c>
    </row>
    <row r="17" spans="2:10" x14ac:dyDescent="0.3">
      <c r="B17" t="s">
        <v>196</v>
      </c>
      <c r="I17" t="s">
        <v>31</v>
      </c>
      <c r="J17">
        <f>COUNTIFS('1 касса'!O2:O1048576, "Футбол - Португалия. Лига NOS")+COUNTIFS('2 касса'!O2:O1048576, "Футбол - Португалия. Лига NOS")+COUNTIFS('3 касса'!O2:O1048576, "Футбол - Португалия. Лига NOS")+COUNTIFS('4 касса'!O2:O1048576, "Футбол - Португалия. Лига NOS")+COUNTIFS('5 касса'!O2:O1048576, "Футбол - Португалия. Лига NOS")+COUNTIFS('6 касса'!O2:O1048576, "Футбол - Португалия. Лига NOS")+COUNTIFS('7 касса'!O2:O1048576, "Футбол - Португалия. Лига NOS")+COUNTIFS('8 касса'!O2:O1048576, "Футбол - Португалия. Лига NOS")+COUNTIFS('9 касса'!O2:O1048576, "Футбол - Португалия. Лига NOS")+COUNTIFS('10 касса'!O2:O1048576, "Футбол - Португалия. Лига NOS")</f>
        <v>0</v>
      </c>
    </row>
    <row r="18" spans="2:10" x14ac:dyDescent="0.3">
      <c r="B18" t="s">
        <v>197</v>
      </c>
      <c r="I18" t="s">
        <v>34</v>
      </c>
      <c r="J18">
        <f>COUNTIFS('1 касса'!O2:O1048576, "Футбол - Турция. Суперлига")+COUNTIFS('2 касса'!O2:O1048576, "Футбол - Турция. Суперлига")+COUNTIFS('3 касса'!O2:O1048576, "Футбол - Турция. Суперлига")+COUNTIFS('4 касса'!O2:O1048576, "Футбол - Турция. Суперлига")+COUNTIFS('5 касса'!O2:O1048576, "Футбол - Турция. Суперлига")+COUNTIFS('6 касса'!O2:O1048576, "Футбол - Турция. Суперлига")+COUNTIFS('7 касса'!O2:O1048576, "Футбол - Турция. Суперлига")+COUNTIFS('8 касса'!O2:O1048576, "Футбол - Турция. Суперлига")+COUNTIFS('9 касса'!O2:O1048576, "Футбол - Турция. Суперлига")+COUNTIFS('10 касса'!O2:O1048576, "Футбол - Турция. Суперлига")</f>
        <v>0</v>
      </c>
    </row>
    <row r="19" spans="2:10" x14ac:dyDescent="0.3">
      <c r="B19" t="s">
        <v>198</v>
      </c>
      <c r="I19" t="s">
        <v>35</v>
      </c>
      <c r="J19">
        <f>COUNTIFS('1 касса'!O2:O1048576, "Футбол - Нидерланды. Эредивизи")+COUNTIFS('2 касса'!O2:O1048576, "Футбол - Нидерланды. Эредивизи")+COUNTIFS('3 касса'!O2:O1048576, "Футбол - Нидерланды. Эредивизи")+COUNTIFS('4 касса'!O2:O1048576, "Футбол - Нидерланды. Эредивизи")+COUNTIFS('5 касса'!O2:O1048576, "Футбол - Нидерланды. Эредивизи")+COUNTIFS('6 касса'!O2:O1048576, "Футбол - Нидерланды. Эредивизи")+COUNTIFS('7 касса'!O2:O1048576, "Футбол - Нидерланды. Эредивизи")+COUNTIFS('8 касса'!O2:O1048576, "Футбол - Нидерланды. Эредивизи")+COUNTIFS('9 касса'!O2:O1048576, "Футбол - Нидерланды. Эредивизи")+COUNTIFS('10 касса'!O2:O1048576, "Футбол - Нидерланды. Эредивизи")</f>
        <v>0</v>
      </c>
    </row>
    <row r="20" spans="2:10" x14ac:dyDescent="0.3">
      <c r="B20" t="s">
        <v>203</v>
      </c>
      <c r="I20" t="s">
        <v>72</v>
      </c>
      <c r="J20">
        <f>COUNTIFS('1 касса'!O2:O1048576, "Футбол - Греция. Суперлига")+COUNTIFS('2 касса'!O2:O1048576, "Футбол - Греция. Суперлига")+COUNTIFS('3 касса'!O2:O1048576, "Футбол - Греция. Суперлига")+COUNTIFS('4 касса'!O2:O1048576, "Футбол - Греция. Суперлига")+COUNTIFS('5 касса'!O2:O1048576, "Футбол - Греция. Суперлига")+COUNTIFS('6 касса'!O2:O1048576, "Футбол - Греция. Суперлига")+COUNTIFS('7 касса'!O2:O1048576, "Футбол - Греция. Суперлига")+COUNTIFS('8 касса'!O2:O1048576, "Футбол - Греция. Суперлига")+COUNTIFS('9 касса'!O2:O1048576, "Футбол - Греция. Суперлига")+COUNTIFS('10 касса'!O2:O1048576, "Футбол - Греция. Суперлига")</f>
        <v>0</v>
      </c>
    </row>
    <row r="21" spans="2:10" x14ac:dyDescent="0.3">
      <c r="B21" t="s">
        <v>199</v>
      </c>
      <c r="I21" t="s">
        <v>79</v>
      </c>
      <c r="J21">
        <f>COUNTIFS('1 касса'!O2:O1048576, "Футбол - Украина. УПЛ")+COUNTIFS('2 касса'!O2:O1048576, "Футбол - Украина. УПЛ")+COUNTIFS('3 касса'!O2:O1048576, "Футбол - Украина. УПЛ")+COUNTIFS('4 касса'!O2:O1048576, "Футбол - Украина. УПЛ")+COUNTIFS('5 касса'!O2:O1048576, "Футбол - Украина. УПЛ")+COUNTIFS('6 касса'!O2:O1048576, "Футбол - Украина. УПЛ")+COUNTIFS('7 касса'!O2:O1048576, "Футбол - Украина. УПЛ")+COUNTIFS('8 касса'!O2:O1048576, "Футбол - Украина. УПЛ")+COUNTIFS('9 касса'!O2:O1048576, "Футбол - Украина. УПЛ")+COUNTIFS('10 касса'!O2:O1048576, "Футбол - Украина. УПЛ")</f>
        <v>0</v>
      </c>
    </row>
    <row r="22" spans="2:10" x14ac:dyDescent="0.3">
      <c r="B22" t="s">
        <v>200</v>
      </c>
      <c r="I22" t="s">
        <v>74</v>
      </c>
      <c r="J22">
        <f>COUNTIFS('1 касса'!O2:O1048576, "Футбол - Кубок Либертадорес")+COUNTIFS('2 касса'!O2:O1048576, "Футбол - Кубок Либертадорес")+COUNTIFS('3 касса'!O2:O1048576, "Футбол - Кубок Либертадорес")+COUNTIFS('4 касса'!O2:O1048576, "Футбол - Кубок Либертадорес")+COUNTIFS('5 касса'!O2:O1048576, "Футбол - Кубок Либертадорес")+COUNTIFS('6 касса'!O2:O1048576, "Футбол - Кубок Либертадорес")+COUNTIFS('7 касса'!O2:O1048576, "Футбол - Кубок Либертадорес")+COUNTIFS('8 касса'!O2:O1048576, "Футбол - Кубок Либертадорес")+COUNTIFS('9 касса'!O2:O1048576, "Футбол - Кубок Либертадорес")+COUNTIFS('10 касса'!O2:O1048576, "Футбол - Кубок Либертадорес")</f>
        <v>0</v>
      </c>
    </row>
    <row r="23" spans="2:10" x14ac:dyDescent="0.3">
      <c r="B23" t="s">
        <v>201</v>
      </c>
      <c r="I23" t="s">
        <v>80</v>
      </c>
      <c r="J23">
        <f>COUNTIFS('1 касса'!O2:O1048576, "Футбол - США/Канада. MLS")+COUNTIFS('2 касса'!O2:O1048576, "Футбол - США/Канада. MLS")+COUNTIFS('3 касса'!O2:O1048576, "Футбол - США/Канада. MLS")+COUNTIFS('4 касса'!O2:O1048576, "Футбол - США/Канада. MLS")+COUNTIFS('5 касса'!O2:O1048576, "Футбол - США/Канада. MLS")+COUNTIFS('6 касса'!O2:O1048576, "Футбол - США/Канада. MLS")+COUNTIFS('7 касса'!O2:O1048576, "Футбол - США/Канада. MLS")+COUNTIFS('8 касса'!O2:O1048576, "Футбол - США/Канада. MLS")+COUNTIFS('9 касса'!O2:O1048576, "Футбол - США/Канада. MLS")+COUNTIFS('10 касса'!O2:O1048576, "Футбол - США/Канада. MLS")</f>
        <v>0</v>
      </c>
    </row>
    <row r="24" spans="2:10" x14ac:dyDescent="0.3">
      <c r="I24" t="s">
        <v>92</v>
      </c>
      <c r="J24">
        <f>COUNTIFS('1 касса'!O2:O1048576, "Футбол - Бразилия. Сериа А")+COUNTIFS('2 касса'!O2:O1048576, "Футбол - Бразилия. Сериа А")+COUNTIFS('3 касса'!O2:O1048576, "Футбол - Бразилия. Сериа А")+COUNTIFS('4 касса'!O2:O1048576, "Футбол - Бразилия. Сериа А")+COUNTIFS('5 касса'!O2:O1048576, "Футбол - Бразилия. Сериа А")+COUNTIFS('6 касса'!O2:O1048576, "Футбол - Бразилия. Сериа А")+COUNTIFS('7 касса'!O2:O1048576, "Футбол - Бразилия. Сериа А")+COUNTIFS('8 касса'!O2:O1048576, "Футбол - Бразилия. Сериа А")+COUNTIFS('9 касса'!O2:O1048576, "Футбол - Бразилия. Сериа А")+COUNTIFS('10 касса'!O2:O1048576, "Футбол - Бразилия. Сериа А")</f>
        <v>0</v>
      </c>
    </row>
    <row r="25" spans="2:10" x14ac:dyDescent="0.3">
      <c r="I25" t="s">
        <v>93</v>
      </c>
      <c r="J25">
        <f>COUNTIFS('1 касса'!O2:O1048576, "Футбол - Аргентина. Суперлига")+COUNTIFS('2 касса'!O2:O1048576, "Футбол - Аргентина. Суперлига")+COUNTIFS('3 касса'!O2:O1048576, "Футбол - Аргентина. Суперлига")+COUNTIFS('4 касса'!O2:O1048576, "Футбол - Аргентина. Суперлига")+COUNTIFS('5 касса'!O2:O1048576, "Футбол - Аргентина. Суперлига")+COUNTIFS('6 касса'!O2:O1048576, "Футбол - Аргентина. Суперлига")+COUNTIFS('7 касса'!O2:O1048576, "Футбол - Аргентина. Суперлига")+COUNTIFS('8 касса'!O2:O1048576, "Футбол - Аргентина. Суперлига")+COUNTIFS('9 касса'!O2:O1048576, "Футбол - Аргентина. Суперлига")+COUNTIFS('10 касса'!O2:O1048576, "Футбол - Аргентина. Суперлига")</f>
        <v>0</v>
      </c>
    </row>
    <row r="26" spans="2:10" x14ac:dyDescent="0.3">
      <c r="I26" t="s">
        <v>91</v>
      </c>
      <c r="J26">
        <f>COUNTIFS('1 касса'!O2:O1048576, "Футбол - Китай. Суперлига")+COUNTIFS('2 касса'!O2:O1048576, "Футбол - Китай. Суперлига")+COUNTIFS('3 касса'!O2:O1048576, "Футбол - Китай. Суперлига")+COUNTIFS('4 касса'!O2:O1048576, "Футбол - Китай. Суперлига")+COUNTIFS('5 касса'!O2:O1048576, "Футбол - Китай. Суперлига")+COUNTIFS('6 касса'!O2:O1048576, "Футбол - Китай. Суперлига")+COUNTIFS('7 касса'!O2:O1048576, "Футбол - Китай. Суперлига")+COUNTIFS('8 касса'!O2:O1048576, "Футбол - Китай. Суперлига")+COUNTIFS('9 касса'!O2:O1048576, "Футбол - Китай. Суперлига")+COUNTIFS('10 касса'!O2:O1048576, "Футбол - Китай. Суперлига")</f>
        <v>0</v>
      </c>
    </row>
    <row r="27" spans="2:10" ht="14.25" customHeight="1" x14ac:dyDescent="0.3">
      <c r="I27" t="s">
        <v>118</v>
      </c>
      <c r="J27">
        <f>COUNTIFS('1 касса'!O2:O1048576, "Футбол - Сборные. Чемпионат мира")+COUNTIFS('2 касса'!O2:O1048576, "Футбол - Сборные. Чемпионат мира")+COUNTIFS('3 касса'!O2:O1048576, "Футбол - Сборные. Чемпионат мира")+COUNTIFS('4 касса'!O2:O1048576, "Футбол - Сборные. Чемпионат мира")+COUNTIFS('5 касса'!O2:O1048576, "Футбол - Сборные. Чемпионат мира")+COUNTIFS('6 касса'!O2:O1048576, "Футбол - Сборные. Чемпионат мира")+COUNTIFS('7 касса'!O2:O1048576, "Футбол - Сборные. Чемпионат мира")+COUNTIFS('8 касса'!O2:O1048576, "Футбол - Сборные. Чемпионат мира")+COUNTIFS('9 касса'!O2:O1048576, "Футбол - Сборные. Чемпионат мира")+COUNTIFS('10 касса'!O2:O1048576, "Футбол - Сборные. Чемпионат мира")</f>
        <v>0</v>
      </c>
    </row>
    <row r="28" spans="2:10" ht="15" customHeight="1" x14ac:dyDescent="0.3">
      <c r="I28" t="s">
        <v>42</v>
      </c>
      <c r="J28">
        <f>COUNTIFS('1 касса'!O2:O1048576, "Футбол - Сборные. Чемпионат Европы")+COUNTIFS('2 касса'!O2:O1048576, "Футбол - Сборные. Чемпионат Европы")+COUNTIFS('3 касса'!O2:O1048576, "Футбол - Сборные. Чемпионат Европы")+COUNTIFS('4 касса'!O2:O1048576, "Футбол - Сборные. Чемпионат Европы")+COUNTIFS('5 касса'!O2:O1048576, "Футбол - Сборные. Чемпионат Европы")+COUNTIFS('6 касса'!O2:O1048576, "Футбол - Сборные. Чемпионат Европы")+COUNTIFS('7 касса'!O2:O1048576, "Футбол - Сборные. Чемпионат Европы")+COUNTIFS('8 касса'!O2:O1048576, "Футбол - Сборные. Чемпионат Европы")+COUNTIFS('9 касса'!O2:O1048576, "Футбол - Сборные. Чемпионат Европы")+COUNTIFS('10 касса'!O2:O1048576, "Футбол - Сборные. Чемпионат Европы")</f>
        <v>0</v>
      </c>
    </row>
    <row r="29" spans="2:10" ht="14.25" customHeight="1" x14ac:dyDescent="0.3">
      <c r="I29" t="s">
        <v>43</v>
      </c>
      <c r="J29">
        <f>COUNTIFS('1 касса'!O2:O1048576, "Футбол - Сборные. Лига Наций")+COUNTIFS('2 касса'!O2:O1048576, "Футбол - Сборные. Лига Наций")+COUNTIFS('3 касса'!O2:O1048576, "Футбол - Сборные. Лига Наций")+COUNTIFS('4 касса'!O2:O1048576, "Футбол - Сборные. Лига Наций")+COUNTIFS('5 касса'!O2:O1048576, "Футбол - Сборные. Лига Наций")+COUNTIFS('6 касса'!O2:O1048576, "Футбол - Сборные. Лига Наций")+COUNTIFS('7 касса'!O2:O1048576, "Футбол - Сборные. Лига Наций")+COUNTIFS('8 касса'!O2:O1048576, "Футбол - Сборные. Лига Наций")+COUNTIFS('9 касса'!O2:O1048576, "Футбол - Сборные. Лига Наций")+COUNTIFS('10 касса'!O2:O1048576, "Футбол - Сборные. Лига Наций")</f>
        <v>0</v>
      </c>
    </row>
    <row r="30" spans="2:10" ht="14.25" customHeight="1" x14ac:dyDescent="0.3">
      <c r="I30" t="s">
        <v>94</v>
      </c>
      <c r="J30">
        <f>COUNTIFS('1 касса'!O2:O1048576, "Футбол - Сборные. Кубок Америки")+COUNTIFS('2 касса'!O2:O1048576, "Футбол - Сборные. Кубок Америки")+COUNTIFS('3 касса'!O2:O1048576, "Футбол - Сборные. Кубок Америки")+COUNTIFS('4 касса'!O2:O1048576, "Футбол - Сборные. Кубок Америки")+COUNTIFS('5 касса'!O2:O1048576, "Футбол - Сборные. Кубок Америки")+COUNTIFS('6 касса'!O2:O1048576, "Футбол - Сборные. Кубок Америки")+COUNTIFS('7 касса'!O2:O1048576, "Футбол - Сборные. Кубок Америки")+COUNTIFS('8 касса'!O2:O1048576, "Футбол - Сборные. Кубок Америки")+COUNTIFS('9 касса'!O2:O1048576, "Футбол - Сборные. Кубок Америки")+COUNTIFS('10 касса'!O2:O1048576, "Футбол - Сборные. Кубок Америки")</f>
        <v>0</v>
      </c>
    </row>
    <row r="31" spans="2:10" ht="14.25" customHeight="1" x14ac:dyDescent="0.3">
      <c r="I31" t="s">
        <v>44</v>
      </c>
      <c r="J31">
        <f>COUNTIFS('1 касса'!O2:O1048576, "Футбол - Сборные. Кубок Азии")+COUNTIFS('2 касса'!O2:O1048576, "Футбол - Сборные. Кубок Азии")+COUNTIFS('3 касса'!O2:O1048576, "Футбол - Сборные. Кубок Азии")+COUNTIFS('4 касса'!O2:O1048576, "Футбол - Сборные. Кубок Азии")+COUNTIFS('5 касса'!O2:O1048576, "Футбол - Сборные. Кубок Азии")+COUNTIFS('6 касса'!O2:O1048576, "Футбол - Сборные. Кубок Азии")+COUNTIFS('7 касса'!O2:O1048576, "Футбол - Сборные. Кубок Азии")+COUNTIFS('8 касса'!O2:O1048576, "Футбол - Сборные. Кубок Азии")+COUNTIFS('9 касса'!O2:O1048576, "Футбол - Сборные. Кубок Азии")+COUNTIFS('10 касса'!O2:O1048576, "Футбол - Сборные. Кубок Азии")</f>
        <v>0</v>
      </c>
    </row>
    <row r="32" spans="2:10" x14ac:dyDescent="0.3">
      <c r="I32" t="s">
        <v>45</v>
      </c>
      <c r="J32">
        <f>COUNTIFS('1 касса'!O2:O1048576, "Футбол - Сборные. Кубок Африки")+COUNTIFS('2 касса'!O2:O1048576, "Футбол - Сборные. Кубок Африки")+COUNTIFS('3 касса'!O2:O1048576, "Футбол - Сборные. Кубок Африки")+COUNTIFS('4 касса'!O2:O1048576, "Футбол - Сборные. Кубок Африки")+COUNTIFS('5 касса'!O2:O1048576, "Футбол - Сборные. Кубок Африки")+COUNTIFS('6 касса'!O2:O1048576, "Футбол - Сборные. Кубок Африки")+COUNTIFS('7 касса'!O2:O1048576, "Футбол - Сборные. Кубок Африки")+COUNTIFS('8 касса'!O2:O1048576, "Футбол - Сборные. Кубок Африки")+COUNTIFS('9 касса'!O2:O1048576, "Футбол - Сборные. Кубок Африки")+COUNTIFS('10 касса'!O2:O1048576, "Футбол - Сборные. Кубок Африки")</f>
        <v>0</v>
      </c>
    </row>
    <row r="33" spans="9:10" ht="14.25" customHeight="1" x14ac:dyDescent="0.3">
      <c r="I33" s="13" t="s">
        <v>95</v>
      </c>
      <c r="J33">
        <f>COUNTIFS('1 касса'!O2:O1048576, "Футбол - Сборные. КОНКАКАФ")+COUNTIFS('2 касса'!O2:O1048576, "Футбол - Сборные. КОНКАКАФ")+COUNTIFS('3 касса'!O2:O1048576, "Футбол - Сборные. КОНКАКАФ")+COUNTIFS('4 касса'!O2:O1048576, "Футбол - Сборные. КОНКАКАФ")+COUNTIFS('5 касса'!O2:O1048576, "Футбол - Сборные. КОНКАКАФ")+COUNTIFS('6 касса'!O2:O1048576, "Футбол - Сборные. КОНКАКАФ")+COUNTIFS('7 касса'!O2:O1048576, "Футбол - Сборные. КОНКАКАФ")+COUNTIFS('8 касса'!O2:O1048576, "Футбол - Сборные. КОНКАКАФ")+COUNTIFS('9 касса'!O2:O1048576, "Футбол - Сборные. КОНКАКАФ")+COUNTIFS('10 касса'!O2:O1048576, "Футбол - Сборные. КОНКАКАФ")</f>
        <v>0</v>
      </c>
    </row>
    <row r="34" spans="9:10" ht="13.5" customHeight="1" x14ac:dyDescent="0.3">
      <c r="I34" t="s">
        <v>46</v>
      </c>
      <c r="J34">
        <f>COUNTIFS('1 касса'!O2:O1048576, "Футбол - Сборные.  Другое")+COUNTIFS('2 касса'!O2:O1048576, "Футбол - Сборные.  Другое")+COUNTIFS('3 касса'!O2:O1048576, "Футбол - Сборные.  Другое")+COUNTIFS('4 касса'!O2:O1048576, "Футбол - Сборные.  Другое")+COUNTIFS('5 касса'!O2:O1048576, "Футбол - Сборные.  Другое")+COUNTIFS('6 касса'!O2:O1048576, "Футбол - Сборные.  Другое")+COUNTIFS('7 касса'!O2:O1048576, "Футбол - Сборные.  Другое")+COUNTIFS('8 касса'!O2:O1048576, "Футбол - Сборные.  Другое")+COUNTIFS('9 касса'!O2:O1048576, "Футбол - Сборные.  Другое")+COUNTIFS('10 касса'!O2:O1048576, "Футбол - Сборные.  Другое")</f>
        <v>0</v>
      </c>
    </row>
    <row r="35" spans="9:10" x14ac:dyDescent="0.3">
      <c r="I35" t="s">
        <v>47</v>
      </c>
      <c r="J35">
        <f>COUNTIFS('1 касса'!O2:O1048576, "Хоккей - КХЛ")+COUNTIFS('2 касса'!O2:O1048576, "Хоккей - КХЛ")+COUNTIFS('3 касса'!O2:O1048576, "Хоккей - КХЛ")+COUNTIFS('4 касса'!O2:O1048576, "Хоккей - КХЛ")+COUNTIFS('5 касса'!O2:O1048576, "Хоккей - КХЛ")+COUNTIFS('6 касса'!O2:O1048576, "Хоккей - КХЛ")+COUNTIFS('7 касса'!O2:O1048576, "Хоккей - КХЛ")+COUNTIFS('8 касса'!O2:O1048576, "Хоккей - КХЛ")+COUNTIFS('9 касса'!O2:O1048576, "Хоккей - КХЛ")+COUNTIFS('10 касса'!O2:O1048576, "Хоккей - КХЛ")</f>
        <v>0</v>
      </c>
    </row>
    <row r="36" spans="9:10" x14ac:dyDescent="0.3">
      <c r="I36" t="s">
        <v>48</v>
      </c>
      <c r="J36">
        <f>COUNTIFS('1 касса'!O2:O1048576, "Хоккей - НХЛ")+COUNTIFS('2 касса'!O2:O1048576, "Хоккей - НХЛ")+COUNTIFS('3 касса'!O2:O1048576, "Хоккей - НХЛ")+COUNTIFS('4 касса'!O2:O1048576, "Хоккей - НХЛ")+COUNTIFS('5 касса'!O2:O1048576, "Хоккей - НХЛ")+COUNTIFS('6 касса'!O2:O1048576, "Хоккей - НХЛ")+COUNTIFS('7 касса'!O2:O1048576, "Хоккей - НХЛ")+COUNTIFS('8 касса'!O2:O1048576, "Хоккей - НХЛ")+COUNTIFS('9 касса'!O2:O1048576, "Хоккей - НХЛ")+COUNTIFS('10 касса'!O2:O1048576, "Хоккей - НХЛ")</f>
        <v>0</v>
      </c>
    </row>
    <row r="37" spans="9:10" x14ac:dyDescent="0.3">
      <c r="I37" t="s">
        <v>124</v>
      </c>
      <c r="J37">
        <f>COUNTIFS('1 касса'!O2:O1048576, "Хоккей - Сборные. Чемпионат мира")+COUNTIFS('2 касса'!O2:O1048576, "Хоккей - Сборные. Чемпионат мира")+COUNTIFS('3 касса'!O2:O1048576, "Хоккей - Сборные. Чемпионат мира")+COUNTIFS('4 касса'!O2:O1048576, "Хоккей - Сборные. Чемпионат мира")+COUNTIFS('5 касса'!O2:O1048576, "Хоккей - Сборные. Чемпионат мира")+COUNTIFS('6 касса'!O2:O1048576, "Хоккей - Сборные. Чемпионат мира")+COUNTIFS('7 касса'!O2:O1048576, "Хоккей - Сборные. Чемпионат мира")+COUNTIFS('8 касса'!O2:O1048576, "Хоккей - Сборные. Чемпионат мира")+COUNTIFS('9 касса'!O2:O1048576, "Хоккей - Сборные. Чемпионат мира")+COUNTIFS('10 касса'!O2:O1048576, "Хоккей - Сборные. Чемпионат мира")</f>
        <v>0</v>
      </c>
    </row>
    <row r="38" spans="9:10" ht="15.75" customHeight="1" x14ac:dyDescent="0.3">
      <c r="I38" t="s">
        <v>49</v>
      </c>
      <c r="J38">
        <f>COUNTIFS('1 касса'!O2:O1048576, "Хоккей - Сборные. Евротур")+COUNTIFS('2 касса'!O2:O1048576, "Хоккей - Сборные. Евротур")+COUNTIFS('3 касса'!O2:O1048576, "Хоккей - Сборные. Евротур")+COUNTIFS('4 касса'!O2:O1048576, "Хоккей - Сборные. Евротур")+COUNTIFS('5 касса'!O2:O1048576, "Хоккей - Сборные. Евротур")+COUNTIFS('6 касса'!O2:O1048576, "Хоккей - Сборные. Евротур")+COUNTIFS('7 касса'!O2:O1048576, "Хоккей - Сборные. Евротур")+COUNTIFS('8 касса'!O2:O1048576, "Хоккей - Сборные. Евротур")+COUNTIFS('9 касса'!O2:O1048576, "Хоккей - Сборные. Евротур")+COUNTIFS('10 касса'!O2:O1048576, "Хоккей - Сборные. Евротур")</f>
        <v>0</v>
      </c>
    </row>
    <row r="39" spans="9:10" x14ac:dyDescent="0.3">
      <c r="I39" t="s">
        <v>50</v>
      </c>
      <c r="J39">
        <f>COUNTIFS('1 касса'!O2:O1048576, "Смешанные единоборства - UFC")+COUNTIFS('2 касса'!O2:O1048576, "Смешанные единоборства - UFC")+COUNTIFS('3 касса'!O2:O1048576, "Смешанные единоборства - UFC")+COUNTIFS('4 касса'!O2:O1048576, "Смешанные единоборства - UFC")+COUNTIFS('5 касса'!O2:O1048576, "Смешанные единоборства - UFC")+COUNTIFS('6 касса'!O2:O1048576, "Смешанные единоборства - UFC")+COUNTIFS('7 касса'!O2:O1048576, "Смешанные единоборства - UFC")+COUNTIFS('8 касса'!O2:O1048576, "Смешанные единоборства - UFC")+COUNTIFS('9 касса'!O2:O1048576, "Смешанные единоборства - UFC")+COUNTIFS('10 касса'!O2:O1048576, "Смешанные единоборства - UFC")</f>
        <v>0</v>
      </c>
    </row>
    <row r="40" spans="9:10" x14ac:dyDescent="0.3">
      <c r="I40" t="s">
        <v>51</v>
      </c>
      <c r="J40">
        <f>COUNTIFS('1 касса'!O2:O1048576, "Смешанные единоборства - Bellator")+COUNTIFS('2 касса'!O2:O1048576, "Смешанные единоборства - Bellator")+COUNTIFS('3 касса'!O2:O1048576, "Смешанные единоборства - Bellator")+COUNTIFS('4 касса'!O2:O1048576, "Смешанные единоборства - Bellator")+COUNTIFS('5 касса'!O2:O1048576, "Смешанные единоборства - Bellator")+COUNTIFS('6 касса'!O2:O1048576, "Смешанные единоборства - Bellator")+COUNTIFS('7 касса'!O2:O1048576, "Смешанные единоборства - Bellator")+COUNTIFS('8 касса'!O2:O1048576, "Смешанные единоборства - Bellator")+COUNTIFS('9 касса'!O2:O1048576, "Смешанные единоборства - Bellator")+COUNTIFS('10 касса'!O2:O1048576, "Смешанные единоборства - Bellator")</f>
        <v>0</v>
      </c>
    </row>
    <row r="41" spans="9:10" x14ac:dyDescent="0.3">
      <c r="I41" t="s">
        <v>52</v>
      </c>
      <c r="J41">
        <f>COUNTIFS('1 касса'!O2:O1048576, "Смешанные единоборства - M-1")+COUNTIFS('2 касса'!O2:O1048576, "Смешанные единоборства - M-1")+COUNTIFS('3 касса'!O2:O1048576, "Смешанные единоборства - M-1")+COUNTIFS('4 касса'!O2:O1048576, "Смешанные единоборства - M-1")+COUNTIFS('5 касса'!O2:O1048576, "Смешанные единоборства - M-1")+COUNTIFS('6 касса'!O2:O1048576, "Смешанные единоборства - M-1")+COUNTIFS('7 касса'!O2:O1048576, "Смешанные единоборства - M-1")+COUNTIFS('8 касса'!O2:O1048576, "Смешанные единоборства - M-1")+COUNTIFS('9 касса'!O2:O1048576, "Смешанные единоборства - M-1")+COUNTIFS('10 касса'!O2:O1048576, "Смешанные единоборства - M-1")</f>
        <v>0</v>
      </c>
    </row>
    <row r="42" spans="9:10" x14ac:dyDescent="0.3">
      <c r="I42" t="s">
        <v>53</v>
      </c>
      <c r="J42">
        <f>COUNTIFS('1 касса'!O2:O1048576, "Смешанные единоборства - Fight Nights Global")+COUNTIFS('2 касса'!O2:O1048576, "Смешанные единоборства - Fight Nights Global")+COUNTIFS('3 касса'!O2:O1048576, "Смешанные единоборства - Fight Nights Global")+COUNTIFS('4 касса'!O2:O1048576, "Смешанные единоборства - Fight Nights Global")+COUNTIFS('5 касса'!O2:O1048576, "Смешанные единоборства - Fight Nights Global")+COUNTIFS('6 касса'!O2:O1048576, "Смешанные единоборства - Fight Nights Global")+COUNTIFS('7 касса'!O2:O1048576, "Смешанные единоборства - Fight Nights Global")+COUNTIFS('8 касса'!O2:O1048576, "Смешанные единоборства - Fight Nights Global")+COUNTIFS('9 касса'!O2:O1048576, "Смешанные единоборства - Fight Nights Global")+COUNTIFS('10 касса'!O2:O1048576, "Смешанные единоборства - Fight Nights Global")</f>
        <v>0</v>
      </c>
    </row>
    <row r="43" spans="9:10" x14ac:dyDescent="0.3">
      <c r="I43" t="s">
        <v>54</v>
      </c>
      <c r="J43">
        <f>COUNTIFS('1 касса'!O2:O1048576, "Бокс - WBA")+COUNTIFS('2 касса'!O2:O1048576, "Бокс - WBA")+COUNTIFS('3 касса'!O2:O1048576, "Бокс - WBA")+COUNTIFS('4 касса'!O2:O1048576, "Бокс - WBA")+COUNTIFS('5 касса'!O2:O1048576, "Бокс - WBA")+COUNTIFS('6 касса'!O2:O1048576, "Бокс - WBA")+COUNTIFS('7 касса'!O2:O1048576, "Бокс - WBA")+COUNTIFS('8 касса'!O2:O1048576, "Бокс - WBA")+COUNTIFS('9 касса'!O2:O1048576, "Бокс - WBA")+COUNTIFS('10 касса'!O2:O1048576, "Бокс - WBA")</f>
        <v>0</v>
      </c>
    </row>
    <row r="44" spans="9:10" x14ac:dyDescent="0.3">
      <c r="I44" t="s">
        <v>104</v>
      </c>
      <c r="J44">
        <f>COUNTIFS('1 касса'!O2:O1048576, "Бокс - WBC")+COUNTIFS('2 касса'!O2:O1048576, "Бокс - WBC")+COUNTIFS('3 касса'!O2:O1048576, "Бокс - WBC")+COUNTIFS('4 касса'!O2:O1048576, "Бокс - WBC")+COUNTIFS('5 касса'!O2:O1048576, "Бокс - WBC")+COUNTIFS('6 касса'!O2:O1048576, "Бокс - WBC")+COUNTIFS('7 касса'!O2:O1048576, "Бокс - WBC")+COUNTIFS('8 касса'!O2:O1048576, "Бокс - WBC")+COUNTIFS('9 касса'!O2:O1048576, "Бокс - WBC")+COUNTIFS('10 касса'!O2:O1048576, "Бокс - WBC")</f>
        <v>0</v>
      </c>
    </row>
    <row r="45" spans="9:10" x14ac:dyDescent="0.3">
      <c r="I45" t="s">
        <v>105</v>
      </c>
      <c r="J45">
        <f>COUNTIFS('1 касса'!O2:O1048576, "Бокс - WBO")+COUNTIFS('2 касса'!O2:O1048576, "Бокс - WBO")+COUNTIFS('3 касса'!O2:O1048576, "Бокс - WBO")+COUNTIFS('4 касса'!O2:O1048576, "Бокс - WBO")+COUNTIFS('5 касса'!O2:O1048576, "Бокс - WBO")+COUNTIFS('6 касса'!O2:O1048576, "Бокс - WBO")+COUNTIFS('7 касса'!O2:O1048576, "Бокс - WBO")+COUNTIFS('8 касса'!O2:O1048576, "Бокс - WBO")+COUNTIFS('9 касса'!O2:O1048576, "Бокс - WBO")+COUNTIFS('10 касса'!O2:O1048576, "Бокс - WBO")</f>
        <v>0</v>
      </c>
    </row>
    <row r="46" spans="9:10" x14ac:dyDescent="0.3">
      <c r="I46" t="s">
        <v>106</v>
      </c>
      <c r="J46">
        <f>COUNTIFS('1 касса'!O2:O1048576, "Бокс - IBF")+COUNTIFS('2 касса'!O2:O1048576, "Бокс - IBF")+COUNTIFS('3 касса'!O2:O1048576, "Бокс - IBF")+COUNTIFS('4 касса'!O2:O1048576, "Бокс - IBF")+COUNTIFS('5 касса'!O2:O1048576, "Бокс - IBF")+COUNTIFS('6 касса'!O2:O1048576, "Бокс - IBF")+COUNTIFS('7 касса'!O2:O1048576, "Бокс - IBF")+COUNTIFS('8 касса'!O2:O1048576, "Бокс - IBF")+COUNTIFS('9 касса'!O2:O1048576, "Бокс - IBF")+COUNTIFS('10 касса'!O2:O1048576, "Бокс - IBF")</f>
        <v>0</v>
      </c>
    </row>
    <row r="47" spans="9:10" x14ac:dyDescent="0.3">
      <c r="I47" t="s">
        <v>58</v>
      </c>
      <c r="J47">
        <f>COUNTIFS('1 касса'!O2:O1048576, "Бокс - IBO")+COUNTIFS('2 касса'!O2:O1048576, "Бокс - IBO")+COUNTIFS('3 касса'!O2:O1048576, "Бокс - IBO")+COUNTIFS('4 касса'!O2:O1048576, "Бокс - IBO")+COUNTIFS('5 касса'!O2:O1048576, "Бокс - IBO")+COUNTIFS('6 касса'!O2:O1048576, "Бокс - IBO")+COUNTIFS('7 касса'!O2:O1048576, "Бокс - IBO")+COUNTIFS('8 касса'!O2:O1048576, "Бокс - IBO")+COUNTIFS('9 касса'!O2:O1048576, "Бокс - IBO")+COUNTIFS('10 касса'!O2:O1048576, "Бокс - IBO")</f>
        <v>0</v>
      </c>
    </row>
    <row r="48" spans="9:10" x14ac:dyDescent="0.3">
      <c r="I48" t="s">
        <v>99</v>
      </c>
      <c r="J48">
        <f>COUNTIFS('1 касса'!O2:O1048576, "Теннис - Уимблдон. ATP")+COUNTIFS('2 касса'!O2:O1048576, "Теннис - Уимблдон. ATP")+COUNTIFS('3 касса'!O2:O1048576, "Теннис - Уимблдон. ATP")+COUNTIFS('4 касса'!O2:O1048576, "Теннис - Уимблдон. ATP")+COUNTIFS('5 касса'!O2:O1048576, "Теннис - Уимблдон. ATP")+COUNTIFS('6 касса'!O2:O1048576, "Теннис - Уимблдон. ATP")+COUNTIFS('7 касса'!O2:O1048576, "Теннис - Уимблдон. ATP")+COUNTIFS('8 касса'!O2:O1048576, "Теннис - Уимблдон. ATP")+COUNTIFS('9 касса'!O2:O1048576, "Теннис - Уимблдон. ATP")+COUNTIFS('10 касса'!O2:O1048576, "Теннис - Уимблдон. ATP")</f>
        <v>0</v>
      </c>
    </row>
    <row r="49" spans="9:10" x14ac:dyDescent="0.3">
      <c r="I49" t="s">
        <v>100</v>
      </c>
      <c r="J49">
        <f>COUNTIFS('1 касса'!O2:O1048576, "Теннис - Уимблдон. WTA")+COUNTIFS('2 касса'!O2:O1048576, "Теннис - Уимблдон. WTA")+COUNTIFS('3 касса'!O2:O1048576, "Теннис - Уимблдон. WTA")+COUNTIFS('4 касса'!O2:O1048576, "Теннис - Уимблдон. WTA")+COUNTIFS('5 касса'!O2:O1048576, "Теннис - Уимблдон. WTA")+COUNTIFS('6 касса'!O2:O1048576, "Теннис - Уимблдон. WTA")+COUNTIFS('7 касса'!O2:O1048576, "Теннис - Уимблдон. WTA")+COUNTIFS('8 касса'!O2:O1048576, "Теннис - Уимблдон. WTA")+COUNTIFS('9 касса'!O2:O1048576, "Теннис - Уимблдон. WTA")+COUNTIFS('10 касса'!O2:O1048576, "Теннис - Уимблдон. WTA")</f>
        <v>0</v>
      </c>
    </row>
    <row r="50" spans="9:10" x14ac:dyDescent="0.3">
      <c r="I50" t="s">
        <v>96</v>
      </c>
      <c r="J50">
        <f>COUNTIFS('1 касса'!O2:O1048576, "Теннис - Australian Open")+COUNTIFS('2 касса'!O2:O1048576, "Теннис - Australian Open")+COUNTIFS('3 касса'!O2:O1048576, "Теннис - Australian Open")+COUNTIFS('4 касса'!O2:O1048576, "Теннис - Australian Open")+COUNTIFS('5 касса'!O2:O1048576, "Теннис - Australian Open")+COUNTIFS('6 касса'!O2:O1048576, "Теннис - Australian Open")+COUNTIFS('7 касса'!O2:O1048576, "Теннис - Australian Open")+COUNTIFS('8 касса'!O2:O1048576, "Теннис - Australian Open")+COUNTIFS('9 касса'!O2:O1048576, "Теннис - Australian Open")+COUNTIFS('10 касса'!O2:O1048576, "Теннис - Australian Open")</f>
        <v>0</v>
      </c>
    </row>
    <row r="51" spans="9:10" x14ac:dyDescent="0.3">
      <c r="I51" t="s">
        <v>97</v>
      </c>
      <c r="J51">
        <f>COUNTIFS('1 касса'!O2:O1048576, "Теннис - Франция. Ролан Гаррос")+COUNTIFS('2 касса'!O2:O1048576, "Теннис - Франция. Ролан Гаррос")+COUNTIFS('3 касса'!O2:O1048576, "Теннис - Франция. Ролан Гаррос")+COUNTIFS('4 касса'!O2:O1048576, "Теннис - Франция. Ролан Гаррос")+COUNTIFS('5 касса'!O2:O1048576, "Теннис - Франция. Ролан Гаррос")+COUNTIFS('6 касса'!O2:O1048576, "Теннис - Франция. Ролан Гаррос")+COUNTIFS('7 касса'!O2:O1048576, "Теннис - Франция. Ролан Гаррос")+COUNTIFS('8 касса'!O2:O1048576, "Теннис - Франция. Ролан Гаррос")+COUNTIFS('9 касса'!O2:O1048576, "Теннис - Франция. Ролан Гаррос")+COUNTIFS('10 касса'!O2:O1048576, "Теннис - Франция. Ролан Гаррос")</f>
        <v>0</v>
      </c>
    </row>
    <row r="52" spans="9:10" x14ac:dyDescent="0.3">
      <c r="I52" t="s">
        <v>98</v>
      </c>
      <c r="J52">
        <f>COUNTIFS('1 касса'!O2:O1048576, "Теннис - US Open")+COUNTIFS('2 касса'!O2:O1048576, "Теннис - US Open")+COUNTIFS('3 касса'!O2:O1048576, "Теннис - US Open")+COUNTIFS('4 касса'!O2:O1048576, "Теннис - US Open")+COUNTIFS('5 касса'!O2:O1048576, "Теннис - US Open")+COUNTIFS('6 касса'!O2:O1048576, "Теннис - US Open")+COUNTIFS('7 касса'!O2:O1048576, "Теннис - US Open")+COUNTIFS('8 касса'!O2:O1048576, "Теннис - US Open")+COUNTIFS('9 касса'!O2:O1048576, "Теннис - US Open")+COUNTIFS('10 касса'!O2:O1048576, "Теннис - US Open")</f>
        <v>0</v>
      </c>
    </row>
    <row r="53" spans="9:10" x14ac:dyDescent="0.3">
      <c r="I53" t="s">
        <v>56</v>
      </c>
      <c r="J53">
        <f>COUNTIFS('1 касса'!O2:O1048576, "Теннис - Кубок Федерации")+COUNTIFS('2 касса'!O2:O1048576, "Теннис - Кубок Федерации")+COUNTIFS('3 касса'!O2:O1048576, "Теннис - Кубок Федерации")+COUNTIFS('4 касса'!O2:O1048576, "Теннис - Кубок Федерации")+COUNTIFS('5 касса'!O2:O1048576, "Теннис - Кубок Федерации")+COUNTIFS('6 касса'!O2:O1048576, "Теннис - Кубок Федерации")+COUNTIFS('7 касса'!O2:O1048576, "Теннис - Кубок Федерации")+COUNTIFS('8 касса'!O2:O1048576, "Теннис - Кубок Федерации")+COUNTIFS('9 касса'!O2:O1048576, "Теннис - Кубок Федерации")+COUNTIFS('10 касса'!O2:O1048576, "Теннис - Кубок Федерации")</f>
        <v>0</v>
      </c>
    </row>
    <row r="54" spans="9:10" x14ac:dyDescent="0.3">
      <c r="I54" t="s">
        <v>55</v>
      </c>
      <c r="J54">
        <f>COUNTIFS('1 касса'!O2:O1048576, "Теннис - Кубок Дэвиса")+COUNTIFS('2 касса'!O2:O1048576, "Теннис - Кубок Дэвиса")+COUNTIFS('3 касса'!O2:O1048576, "Теннис - Кубок Дэвиса")+COUNTIFS('4 касса'!O2:O1048576, "Теннис - Кубок Дэвиса")+COUNTIFS('5 касса'!O2:O1048576, "Теннис - Кубок Дэвиса")+COUNTIFS('6 касса'!O2:O1048576, "Теннис - Кубок Дэвиса")+COUNTIFS('7 касса'!O2:O1048576, "Теннис - Кубок Дэвиса")+COUNTIFS('8 касса'!O2:O1048576, "Теннис - Кубок Дэвиса")+COUNTIFS('9 касса'!O2:O1048576, "Теннис - Кубок Дэвиса")+COUNTIFS('10 касса'!O2:O1048576, "Теннис - Кубок Дэвиса")</f>
        <v>0</v>
      </c>
    </row>
    <row r="55" spans="9:10" x14ac:dyDescent="0.3">
      <c r="I55" t="s">
        <v>57</v>
      </c>
      <c r="J55">
        <f>COUNTIFS('1 касса'!O2:O1048576, "Теннис - Кубок Кремля")+COUNTIFS('2 касса'!O2:O1048576, "Теннис - Кубок Кремля")+COUNTIFS('3 касса'!O2:O1048576, "Теннис - Кубок Кремля")+COUNTIFS('4 касса'!O2:O1048576, "Теннис - Кубок Кремля")+COUNTIFS('5 касса'!O2:O1048576, "Теннис - Кубок Кремля")+COUNTIFS('6 касса'!O2:O1048576, "Теннис - Кубок Кремля")+COUNTIFS('7 касса'!O2:O1048576, "Теннис - Кубок Кремля")+COUNTIFS('8 касса'!O2:O1048576, "Теннис - Кубок Кремля")+COUNTIFS('9 касса'!O2:O1048576, "Теннис - Кубок Кремля")+COUNTIFS('10 касса'!O2:O1048576, "Теннис - Кубок Кремля")</f>
        <v>0</v>
      </c>
    </row>
    <row r="56" spans="9:10" x14ac:dyDescent="0.3">
      <c r="I56" t="s">
        <v>126</v>
      </c>
      <c r="J56">
        <f>COUNTIFS('1 касса'!O2:O1048576, "Баскетбол - Сборные. Чемпионат Мира")+COUNTIFS('2 касса'!O2:O1048576, "Баскетбол - Сборные. Чемпионат Мира")+COUNTIFS('3 касса'!O2:O1048576, "Баскетбол - Сборные. Чемпионат Мира")+COUNTIFS('4 касса'!O2:O1048576, "Баскетбол - Сборные. Чемпионат Мира")+COUNTIFS('5 касса'!O2:O1048576, "Баскетбол - Сборные. Чемпионат Мира")+COUNTIFS('6 касса'!O2:O1048576, "Баскетбол - Сборные. Чемпионат Мира")+COUNTIFS('7 касса'!O2:O1048576, "Баскетбол - Сборные. Чемпионат Мира")+COUNTIFS('8 касса'!O2:O1048576, "Баскетбол - Сборные. Чемпионат Мира")+COUNTIFS('9 касса'!O2:O1048576, "Баскетбол - Сборные. Чемпионат Мира")+COUNTIFS('10 касса'!O2:O1048576, "Баскетбол - Сборные. Чемпионат Мира")</f>
        <v>0</v>
      </c>
    </row>
    <row r="57" spans="9:10" x14ac:dyDescent="0.3">
      <c r="I57" t="s">
        <v>127</v>
      </c>
      <c r="J57">
        <f>COUNTIFS('1 касса'!O2:O1048576, "Баскетбол - Сборные. Чемпионат Европы")+COUNTIFS('2 касса'!O2:O1048576, "Баскетбол - Сборные. Чемпионат Европы")+COUNTIFS('3 касса'!O2:O1048576, "Баскетбол - Сборные. Чемпионат Европы")+COUNTIFS('4 касса'!O2:O1048576, "Баскетбол - Сборные. Чемпионат Европы")+COUNTIFS('5 касса'!O2:O1048576, "Баскетбол - Сборные. Чемпионат Европы")+COUNTIFS('6 касса'!O2:O1048576, "Баскетбол - Сборные. Чемпионат Европы")+COUNTIFS('7 касса'!O2:O1048576, "Баскетбол - Сборные. Чемпионат Европы")+COUNTIFS('8 касса'!O2:O1048576, "Баскетбол - Сборные. Чемпионат Европы")+COUNTIFS('9 касса'!O2:O1048576, "Баскетбол - Сборные. Чемпионат Европы")+COUNTIFS('10 касса'!O2:O1048576, "Баскетбол - Сборные. Чемпионат Европы")</f>
        <v>0</v>
      </c>
    </row>
    <row r="58" spans="9:10" x14ac:dyDescent="0.3">
      <c r="I58" t="s">
        <v>59</v>
      </c>
      <c r="J58">
        <f>COUNTIFS('1 касса'!O2:O1048576, "Баскетбол - Евролига")+COUNTIFS('2 касса'!O2:O1048576, "Баскетбол - Евролига")+COUNTIFS('3 касса'!O2:O1048576, "Баскетбол - Евролига")+COUNTIFS('4 касса'!O2:O1048576, "Баскетбол - Евролига")+COUNTIFS('5 касса'!O2:O1048576, "Баскетбол - Евролига")+COUNTIFS('6 касса'!O2:O1048576, "Баскетбол - Евролига")+COUNTIFS('7 касса'!O2:O1048576, "Баскетбол - Евролига")+COUNTIFS('8 касса'!O2:O1048576, "Баскетбол - Евролига")+COUNTIFS('9 касса'!O2:O1048576, "Баскетбол - Евролига")+COUNTIFS('10 касса'!O2:O1048576, "Баскетбол - Евролига")</f>
        <v>0</v>
      </c>
    </row>
    <row r="59" spans="9:10" x14ac:dyDescent="0.3">
      <c r="I59" t="s">
        <v>60</v>
      </c>
      <c r="J59">
        <f>COUNTIFS('1 касса'!O2:O1048576, "Баскетбол - Еврокубок")+COUNTIFS('2 касса'!O2:O1048576, "Баскетбол - Еврокубок")+COUNTIFS('3 касса'!O2:O1048576, "Баскетбол - Еврокубок")+COUNTIFS('4 касса'!O2:O1048576, "Баскетбол - Еврокубок")+COUNTIFS('5 касса'!O2:O1048576, "Баскетбол - Еврокубок")+COUNTIFS('6 касса'!O2:O1048576, "Баскетбол - Еврокубок")+COUNTIFS('7 касса'!O2:O1048576, "Баскетбол - Еврокубок")+COUNTIFS('8 касса'!O2:O1048576, "Баскетбол - Еврокубок")+COUNTIFS('9 касса'!O2:O1048576, "Баскетбол - Еврокубок")+COUNTIFS('10 касса'!O2:O1048576, "Баскетбол - Еврокубок")</f>
        <v>0</v>
      </c>
    </row>
    <row r="60" spans="9:10" x14ac:dyDescent="0.3">
      <c r="I60" t="s">
        <v>107</v>
      </c>
      <c r="J60">
        <f>COUNTIFS('1 касса'!O2:O1048576, "Баскетбол - Лига Чемпионов")+COUNTIFS('2 касса'!O2:O1048576, "Баскетбол - Лига Чемпионов")+COUNTIFS('3 касса'!O2:O1048576, "Баскетбол - Лига Чемпионов")+COUNTIFS('4 касса'!O2:O1048576, "Баскетбол - Лига Чемпионов")+COUNTIFS('5 касса'!O2:O1048576, "Баскетбол - Лига Чемпионов")+COUNTIFS('6 касса'!O2:O1048576, "Баскетбол - Лига Чемпионов")+COUNTIFS('7 касса'!O2:O1048576, "Баскетбол - Лига Чемпионов")+COUNTIFS('8 касса'!O2:O1048576, "Баскетбол - Лига Чемпионов")+COUNTIFS('9 касса'!O2:O1048576, "Баскетбол - Лига Чемпионов")+COUNTIFS('10 касса'!O2:O1048576, "Баскетбол - Лига Чемпионов")</f>
        <v>0</v>
      </c>
    </row>
    <row r="61" spans="9:10" x14ac:dyDescent="0.3">
      <c r="I61" t="s">
        <v>101</v>
      </c>
      <c r="J61">
        <f>COUNTIFS('1 касса'!O2:O1048576, "Баскетбол - Россия. Единая Лига ВТБ")+COUNTIFS('2 касса'!O2:O1048576, "Баскетбол - Россия. Единая Лига ВТБ")+COUNTIFS('3 касса'!O2:O1048576, "Баскетбол - Россия. Единая Лига ВТБ")+COUNTIFS('4 касса'!O2:O1048576, "Баскетбол - Россия. Единая Лига ВТБ")+COUNTIFS('5 касса'!O2:O1048576, "Баскетбол - Россия. Единая Лига ВТБ")+COUNTIFS('6 касса'!O2:O1048576, "Баскетбол - Россия. Единая Лига ВТБ")+COUNTIFS('7 касса'!O2:O1048576, "Баскетбол - Россия. Единая Лига ВТБ")+COUNTIFS('8 касса'!O2:O1048576, "Баскетбол - Россия. Единая Лига ВТБ")+COUNTIFS('9 касса'!O2:O1048576, "Баскетбол - Россия. Единая Лига ВТБ")+COUNTIFS('10 касса'!O2:O1048576, "Баскетбол - Россия. Единая Лига ВТБ")</f>
        <v>0</v>
      </c>
    </row>
    <row r="62" spans="9:10" x14ac:dyDescent="0.3">
      <c r="I62" t="s">
        <v>125</v>
      </c>
      <c r="J62">
        <f>COUNTIFS('1 касса'!O2:O1048576, "Баскетбол - США. NBA")+COUNTIFS('2 касса'!O2:O1048576, "Баскетбол - США. NBA")+COUNTIFS('3 касса'!O2:O1048576, "Баскетбол - США. NBA")+COUNTIFS('4 касса'!O2:O1048576, "Баскетбол - США. NBA")+COUNTIFS('5 касса'!O2:O1048576, "Баскетбол - США. NBA")+COUNTIFS('6 касса'!O2:O1048576, "Баскетбол - США. NBA")+COUNTIFS('7 касса'!O2:O1048576, "Баскетбол - США. NBA")+COUNTIFS('8 касса'!O2:O1048576, "Баскетбол - США. NBA")+COUNTIFS('9 касса'!O2:O1048576, "Баскетбол - США. NBA")+COUNTIFS('10 касса'!O2:O1048576, "Баскетбол - США. NBA")</f>
        <v>0</v>
      </c>
    </row>
    <row r="63" spans="9:10" x14ac:dyDescent="0.3">
      <c r="I63" t="s">
        <v>129</v>
      </c>
      <c r="J63">
        <f>COUNTIFS('1 касса'!O2:O1048576, "Волейбол - Сборные. Чемпионат мира")+COUNTIFS('2 касса'!O2:O1048576, "Волейбол - Сборные. Чемпионат мира")+COUNTIFS('3 касса'!O2:O1048576, "Волейбол - Сборные. Чемпионат мира")+COUNTIFS('4 касса'!O2:O1048576, "Волейбол - Сборные. Чемпионат мира")+COUNTIFS('5 касса'!O2:O1048576, "Волейбол - Сборные. Чемпионат мира")+COUNTIFS('6 касса'!O2:O1048576, "Волейбол - Сборные. Чемпионат мира")+COUNTIFS('7 касса'!O2:O1048576, "Волейбол - Сборные. Чемпионат мира")+COUNTIFS('8 касса'!O2:O1048576, "Волейбол - Сборные. Чемпионат мира")+COUNTIFS('9 касса'!O2:O1048576, "Волейбол - Сборные. Чемпионат мира")+COUNTIFS('10 касса'!O2:O1048576, "Волейбол - Сборные. Чемпионат мира")</f>
        <v>0</v>
      </c>
    </row>
    <row r="64" spans="9:10" x14ac:dyDescent="0.3">
      <c r="I64" t="s">
        <v>130</v>
      </c>
      <c r="J64">
        <f>COUNTIFS('1 касса'!O2:O1048576, "Волейбол - Сборные. Кубок мира")+COUNTIFS('2 касса'!O2:O1048576, "Волейбол - Сборные. Кубок мира")+COUNTIFS('3 касса'!O2:O1048576, "Волейбол - Сборные. Кубок мира")+COUNTIFS('4 касса'!O2:O1048576, "Волейбол - Сборные. Кубок мира")+COUNTIFS('5 касса'!O2:O1048576, "Волейбол - Сборные. Кубок мира")+COUNTIFS('6 касса'!O2:O1048576, "Волейбол - Сборные. Кубок мира")+COUNTIFS('7 касса'!O2:O1048576, "Волейбол - Сборные. Кубок мира")+COUNTIFS('8 касса'!O2:O1048576, "Волейбол - Сборные. Кубок мира")+COUNTIFS('9 касса'!O2:O1048576, "Волейбол - Сборные. Кубок мира")+COUNTIFS('10 касса'!O2:O1048576, "Волейбол - Сборные. Кубок мира")</f>
        <v>0</v>
      </c>
    </row>
    <row r="65" spans="9:10" x14ac:dyDescent="0.3">
      <c r="I65" t="s">
        <v>128</v>
      </c>
      <c r="J65">
        <f>COUNTIFS('1 касса'!O2:O1048576, "Волейбол - Сборные. Всемирный Кубок Чемпионов")+COUNTIFS('2 касса'!O2:O1048576, "Волейбол - Сборные. Всемирный Кубок Чемпионов")+COUNTIFS('3 касса'!O2:O1048576, "Волейбол - Сборные. Всемирный Кубок Чемпионов")+COUNTIFS('4 касса'!O2:O1048576, "Волейбол - Сборные. Всемирный Кубок Чемпионов")+COUNTIFS('5 касса'!O2:O1048576, "Волейбол - Сборные. Всемирный Кубок Чемпионов")+COUNTIFS('6 касса'!O2:O1048576, "Волейбол - Сборные. Всемирный Кубок Чемпионов")+COUNTIFS('7 касса'!O2:O1048576, "Волейбол - Сборные. Всемирный Кубок Чемпионов")+COUNTIFS('8 касса'!O2:O1048576, "Волейбол - Сборные. Всемирный Кубок Чемпионов")+COUNTIFS('9 касса'!O2:O1048576, "Волейбол - Сборные. Всемирный Кубок Чемпионов")+COUNTIFS('10 касса'!O2:O1048576, "Волейбол - Сборные. Всемирный Кубок Чемпионов")</f>
        <v>0</v>
      </c>
    </row>
    <row r="66" spans="9:10" x14ac:dyDescent="0.3">
      <c r="I66" t="s">
        <v>131</v>
      </c>
      <c r="J66">
        <f>COUNTIFS('1 касса'!O2:O1048576, "Волейбол - Сборные. Лига наций")+COUNTIFS('2 касса'!O2:O1048576, "Волейбол - Сборные. Лига наций")+COUNTIFS('3 касса'!O2:O1048576, "Волейбол - Сборные. Лига наций")+COUNTIFS('4 касса'!O2:O1048576, "Волейбол - Сборные. Лига наций")+COUNTIFS('5 касса'!O2:O1048576, "Волейбол - Сборные. Лига наций")+COUNTIFS('6 касса'!O2:O1048576, "Волейбол - Сборные. Лига наций")+COUNTIFS('7 касса'!O2:O1048576, "Волейбол - Сборные. Лига наций")+COUNTIFS('8 касса'!O2:O1048576, "Волейбол - Сборные. Лига наций")+COUNTIFS('9 касса'!O2:O1048576, "Волейбол - Сборные. Лига наций")+COUNTIFS('10 касса'!O2:O1048576, "Волейбол - Сборные. Лига наций")</f>
        <v>0</v>
      </c>
    </row>
    <row r="67" spans="9:10" x14ac:dyDescent="0.3">
      <c r="I67" t="s">
        <v>132</v>
      </c>
      <c r="J67">
        <f>COUNTIFS('1 касса'!O2:O1048576, "Волейбол - Сборные. Чемпионат Европы")+COUNTIFS('2 касса'!O2:O1048576, "Волейбол - Сборные. Чемпионат Европы")+COUNTIFS('3 касса'!O2:O1048576, "Волейбол - Сборные. Чемпионат Европы")+COUNTIFS('4 касса'!O2:O1048576, "Волейбол - Сборные. Чемпионат Европы")+COUNTIFS('5 касса'!O2:O1048576, "Волейбол - Сборные. Чемпионат Европы")+COUNTIFS('6 касса'!O2:O1048576, "Волейбол - Сборные. Чемпионат Европы")+COUNTIFS('7 касса'!O2:O1048576, "Волейбол - Сборные. Чемпионат Европы")+COUNTIFS('8 касса'!O2:O1048576, "Волейбол - Сборные. Чемпионат Европы")+COUNTIFS('9 касса'!O2:O1048576, "Волейбол - Сборные. Чемпионат Европы")+COUNTIFS('10 касса'!O2:O1048576, "Волейбол - Сборные. Чемпионат Европы")</f>
        <v>0</v>
      </c>
    </row>
    <row r="68" spans="9:10" x14ac:dyDescent="0.3">
      <c r="I68" t="s">
        <v>77</v>
      </c>
      <c r="J68">
        <f>COUNTIFS('1 касса'!O2:O1048576, "Волейбол - Евролига")+COUNTIFS('2 касса'!O2:O1048576, "Волейбол - Евролига")+COUNTIFS('3 касса'!O2:O1048576, "Волейбол - Евролига")+COUNTIFS('4 касса'!O2:O1048576, "Волейбол - Евролига")+COUNTIFS('5 касса'!O2:O1048576, "Волейбол - Евролига")+COUNTIFS('6 касса'!O2:O1048576, "Волейбол - Евролига")+COUNTIFS('7 касса'!O2:O1048576, "Волейбол - Евролига")+COUNTIFS('8 касса'!O2:O1048576, "Волейбол - Евролига")+COUNTIFS('9 касса'!O2:O1048576, "Волейбол - Евролига")+COUNTIFS('10 касса'!O2:O1048576, "Волейбол - Евролига")</f>
        <v>0</v>
      </c>
    </row>
    <row r="69" spans="9:10" x14ac:dyDescent="0.3">
      <c r="I69" t="s">
        <v>78</v>
      </c>
      <c r="J69">
        <f>COUNTIFS('1 касса'!O2:O1048576, "Волейбол - Чемпионат России")+COUNTIFS('2 касса'!O2:O1048576, "Волейбол - Чемпионат России")+COUNTIFS('3 касса'!O2:O1048576, "Волейбол - Чемпионат России")+COUNTIFS('4 касса'!O2:O1048576, "Волейбол - Чемпионат России")+COUNTIFS('5 касса'!O2:O1048576, "Волейбол - Чемпионат России")+COUNTIFS('6 касса'!O2:O1048576, "Волейбол - Чемпионат России")+COUNTIFS('7 касса'!O2:O1048576, "Волейбол - Чемпионат России")+COUNTIFS('8 касса'!O2:O1048576, "Волейбол - Чемпионат России")+COUNTIFS('9 касса'!O2:O1048576, "Волейбол - Чемпионат России")+COUNTIFS('10 касса'!O2:O1048576, "Волейбол - Чемпионат России")</f>
        <v>0</v>
      </c>
    </row>
    <row r="70" spans="9:10" x14ac:dyDescent="0.3">
      <c r="I70" t="s">
        <v>76</v>
      </c>
      <c r="J70">
        <f>COUNTIFS('1 касса'!O2:O1048576, "Биатлон - Чемпионат мира")+COUNTIFS('2 касса'!O2:O1048576, "Биатлон - Чемпионат мира")+COUNTIFS('3 касса'!O2:O1048576, "Биатлон - Чемпионат мира")+COUNTIFS('4 касса'!O2:O1048576, "Биатлон - Чемпионат мира")+COUNTIFS('5 касса'!O2:O1048576, "Биатлон - Чемпионат мира")+COUNTIFS('6 касса'!O2:O1048576, "Биатлон - Чемпионат мира")+COUNTIFS('7 касса'!O2:O1048576, "Биатлон - Чемпионат мира")+COUNTIFS('8 касса'!O2:O1048576, "Биатлон - Чемпионат мира")+COUNTIFS('9 касса'!O2:O1048576, "Биатлон - Чемпионат мира")+COUNTIFS('10 касса'!O2:O1048576, "Биатлон - Чемпионат мира")</f>
        <v>0</v>
      </c>
    </row>
    <row r="71" spans="9:10" x14ac:dyDescent="0.3">
      <c r="I71" t="s">
        <v>102</v>
      </c>
      <c r="J71">
        <f>COUNTIFS('1 касса'!O2:O1048576, "Биатлон - Чемпионат Европы")+COUNTIFS('2 касса'!O2:O1048576, "Биатлон - Чемпионат Европы")+COUNTIFS('3 касса'!O2:O1048576, "Биатлон - Чемпионат Европы")+COUNTIFS('4 касса'!O2:O1048576, "Биатлон - Чемпионат Европы")+COUNTIFS('5 касса'!O2:O1048576, "Биатлон - Чемпионат Европы")+COUNTIFS('6 касса'!O2:O1048576, "Биатлон - Чемпионат Европы")+COUNTIFS('7 касса'!O2:O1048576, "Биатлон - Чемпионат Европы")+COUNTIFS('8 касса'!O2:O1048576, "Биатлон - Чемпионат Европы")+COUNTIFS('9 касса'!O2:O1048576, "Биатлон - Чемпионат Европы")+COUNTIFS('10 касса'!O2:O1048576, "Биатлон - Чемпионат Европы")</f>
        <v>0</v>
      </c>
    </row>
    <row r="72" spans="9:10" x14ac:dyDescent="0.3">
      <c r="I72" t="s">
        <v>73</v>
      </c>
      <c r="J72">
        <f>COUNTIFS('1 касса'!O2:O1048576, "Биатлон - Кубок мира")+COUNTIFS('2 касса'!O2:O1048576, "Биатлон - Кубок мира")+COUNTIFS('3 касса'!O2:O1048576, "Биатлон - Кубок мира")+COUNTIFS('4 касса'!O2:O1048576, "Биатлон - Кубок мира")+COUNTIFS('5 касса'!O2:O1048576, "Биатлон - Кубок мира")+COUNTIFS('6 касса'!O2:O1048576, "Биатлон - Кубок мира")+COUNTIFS('7 касса'!O2:O1048576, "Биатлон - Кубок мира")+COUNTIFS('8 касса'!O2:O1048576, "Биатлон - Кубок мира")+COUNTIFS('9 касса'!O2:O1048576, "Биатлон - Кубок мира")+COUNTIFS('10 касса'!O2:O1048576, "Биатлон - Кубок мира")</f>
        <v>0</v>
      </c>
    </row>
    <row r="73" spans="9:10" x14ac:dyDescent="0.3">
      <c r="I73" t="s">
        <v>75</v>
      </c>
      <c r="J73">
        <f>COUNTIFS('1 касса'!O2:O1048576, "Биатлон - Кубок IBU")+COUNTIFS('2 касса'!O2:O1048576, "Биатлон - Кубок IBU")+COUNTIFS('3 касса'!O2:O1048576, "Биатлон - Кубок IBU")+COUNTIFS('4 касса'!O2:O1048576, "Биатлон - Кубок IBU")+COUNTIFS('5 касса'!O2:O1048576, "Биатлон - Кубок IBU")+COUNTIFS('6 касса'!O2:O1048576, "Биатлон - Кубок IBU")+COUNTIFS('7 касса'!O2:O1048576, "Биатлон - Кубок IBU")+COUNTIFS('8 касса'!O2:O1048576, "Биатлон - Кубок IBU")+COUNTIFS('9 касса'!O2:O1048576, "Биатлон - Кубок IBU")+COUNTIFS('10 касса'!O2:O1048576, "Биатлон - Кубок IBU")</f>
        <v>0</v>
      </c>
    </row>
    <row r="74" spans="9:10" x14ac:dyDescent="0.3">
      <c r="I74" t="s">
        <v>61</v>
      </c>
      <c r="J74">
        <f>COUNTIFS('1 касса'!O2:O1048576, "Формула-1")+COUNTIFS('2 касса'!O2:O1048576, "Формула-1")+COUNTIFS('3 касса'!O2:O1048576, "Формула-1")+COUNTIFS('4 касса'!O2:O1048576, "Формула-1")+COUNTIFS('5 касса'!O2:O1048576, "Формула-1")+COUNTIFS('6 касса'!O2:O1048576, "Формула-1")+COUNTIFS('7 касса'!O2:O1048576, "Формула-1")+COUNTIFS('8 касса'!O2:O1048576, "Формула-1")+COUNTIFS('9 касса'!O2:O1048576, "Формула-1")+COUNTIFS('10 касса'!O2:O1048576, "Формула-1")</f>
        <v>0</v>
      </c>
    </row>
    <row r="75" spans="9:10" x14ac:dyDescent="0.3">
      <c r="I75" t="s">
        <v>103</v>
      </c>
      <c r="J75">
        <f>COUNTIFS('1 касса'!O2:O1048576, "Киберспорт - The International. Dota 2 Championships")+COUNTIFS('2 касса'!O2:O1048576, "Киберспорт - The International. Dota 2 Championships")+COUNTIFS('3 касса'!O2:O1048576, "Киберспорт - The International. Dota 2 Championships")+COUNTIFS('4 касса'!O2:O1048576, "Киберспорт - The International. Dota 2 Championships")+COUNTIFS('5 касса'!O2:O1048576, "Киберспорт - The International. Dota 2 Championships")+COUNTIFS('6 касса'!O2:O1048576, "Киберспорт - The International. Dota 2 Championships")+COUNTIFS('7 касса'!O2:O1048576, "Киберспорт - The International. Dota 2 Championships")+COUNTIFS('8 касса'!O2:O1048576, "Киберспорт - The International. Dota 2 Championships")+COUNTIFS('9 касса'!O2:O1048576, "Киберспорт - The International. Dota 2 Championships")+COUNTIFS('10 касса'!O2:O1048576, "Киберспорт - The International. Dota 2 Championships")</f>
        <v>0</v>
      </c>
    </row>
    <row r="76" spans="9:10" x14ac:dyDescent="0.3">
      <c r="I76" t="s">
        <v>176</v>
      </c>
      <c r="J76">
        <f>COUNTIFS('1 касса'!O2:O1048576, "Киберспорт - Другое")+COUNTIFS('2 касса'!O2:O1048576, "Киберспорт - Другое")+COUNTIFS('3 касса'!O2:O1048576, "Киберспорт - Другое")+COUNTIFS('4 касса'!O2:O1048576, "Киберспорт - Другое")+COUNTIFS('5 касса'!O2:O1048576, "Киберспорт - Другое")+COUNTIFS('6 касса'!O2:O1048576, "Киберспорт - Другое")+COUNTIFS('7 касса'!O2:O1048576, "Киберспорт - Другое")+COUNTIFS('8 касса'!O2:O1048576, "Киберспорт - Другое")+COUNTIFS('9 касса'!O2:O1048576, "Киберспорт - Другое")+COUNTIFS('10 касса'!O2:O1048576, "Киберспорт - Другое")</f>
        <v>0</v>
      </c>
    </row>
    <row r="77" spans="9:10" x14ac:dyDescent="0.3">
      <c r="I77" t="s">
        <v>133</v>
      </c>
      <c r="J77">
        <f>COUNTIFS('1 касса'!O2:O1048576, "Мини-футбол - Сборные. Чемпионат мира")+COUNTIFS('2 касса'!O2:O1048576, "Мини-футбол - Сборные. Чемпионат мира")+COUNTIFS('3 касса'!O2:O1048576, "Мини-футбол - Сборные. Чемпионат мира")+COUNTIFS('4 касса'!O2:O1048576, "Мини-футбол - Сборные. Чемпионат мира")+COUNTIFS('5 касса'!O2:O1048576, "Мини-футбол - Сборные. Чемпионат мира")+COUNTIFS('6 касса'!O2:O1048576, "Мини-футбол - Сборные. Чемпионат мира")+COUNTIFS('7 касса'!O2:O1048576, "Мини-футбол - Сборные. Чемпионат мира")+COUNTIFS('8 касса'!O2:O1048576, "Мини-футбол - Сборные. Чемпионат мира")+COUNTIFS('9 касса'!O2:O1048576, "Мини-футбол - Сборные. Чемпионат мира")+COUNTIFS('10 касса'!O2:O1048576, "Мини-футбол - Сборные. Чемпионат мира")</f>
        <v>0</v>
      </c>
    </row>
    <row r="78" spans="9:10" x14ac:dyDescent="0.3">
      <c r="I78" t="s">
        <v>134</v>
      </c>
      <c r="J78">
        <f>COUNTIFS('1 касса'!O2:O1048576, "Мини-футбол - Сборные. Чемпионат Европы")+COUNTIFS('2 касса'!O2:O1048576, "Мини-футбол - Сборные. Чемпионат Европы")+COUNTIFS('3 касса'!O2:O1048576, "Мини-футбол - Сборные. Чемпионат Европы")+COUNTIFS('4 касса'!O2:O1048576, "Мини-футбол - Сборные. Чемпионат Европы")+COUNTIFS('5 касса'!O2:O1048576, "Мини-футбол - Сборные. Чемпионат Европы")+COUNTIFS('6 касса'!O2:O1048576, "Мини-футбол - Сборные. Чемпионат Европы")+COUNTIFS('7 касса'!O2:O1048576, "Мини-футбол - Сборные. Чемпионат Европы")+COUNTIFS('8 касса'!O2:O1048576, "Мини-футбол - Сборные. Чемпионат Европы")+COUNTIFS('9 касса'!O2:O1048576, "Мини-футбол - Сборные. Чемпионат Европы")+COUNTIFS('10 касса'!O2:O1048576, "Мини-футбол - Сборные. Чемпионат Европы")</f>
        <v>0</v>
      </c>
    </row>
    <row r="79" spans="9:10" x14ac:dyDescent="0.3">
      <c r="I79" t="s">
        <v>135</v>
      </c>
      <c r="J79">
        <f>COUNTIFS('1 касса'!O2:O1048576, "Мини-футбол - Лига Чемпионов УЕФА")+COUNTIFS('2 касса'!O2:O1048576, "Мини-футбол - Лига Чемпионов УЕФА")+COUNTIFS('3 касса'!O2:O1048576, "Мини-футбол - Лига Чемпионов УЕФА")+COUNTIFS('4 касса'!O2:O1048576, "Мини-футбол - Лига Чемпионов УЕФА")+COUNTIFS('5 касса'!O2:O1048576, "Мини-футбол - Лига Чемпионов УЕФА")+COUNTIFS('6 касса'!O2:O1048576, "Мини-футбол - Лига Чемпионов УЕФА")+COUNTIFS('7 касса'!O2:O1048576, "Мини-футбол - Лига Чемпионов УЕФА")+COUNTIFS('8 касса'!O2:O1048576, "Мини-футбол - Лига Чемпионов УЕФА")+COUNTIFS('9 касса'!O2:O1048576, "Мини-футбол - Лига Чемпионов УЕФА")+COUNTIFS('10 касса'!O2:O1048576, "Мини-футбол - Лига Чемпионов УЕФА")</f>
        <v>0</v>
      </c>
    </row>
    <row r="80" spans="9:10" x14ac:dyDescent="0.3">
      <c r="I80" t="s">
        <v>136</v>
      </c>
      <c r="J80">
        <f>COUNTIFS('1 касса'!O2:O1048576, "Мини-футбол - Россия. Суперлига")+COUNTIFS('2 касса'!O2:O1048576, "Мини-футбол - Россия. Суперлига")+COUNTIFS('3 касса'!O2:O1048576, "Мини-футбол - Россия. Суперлига")+COUNTIFS('4 касса'!O2:O1048576, "Мини-футбол - Россия. Суперлига")+COUNTIFS('5 касса'!O2:O1048576, "Мини-футбол - Россия. Суперлига")+COUNTIFS('6 касса'!O2:O1048576, "Мини-футбол - Россия. Суперлига")+COUNTIFS('7 касса'!O2:O1048576, "Мини-футбол - Россия. Суперлига")+COUNTIFS('8 касса'!O2:O1048576, "Мини-футбол - Россия. Суперлига")+COUNTIFS('9 касса'!O2:O1048576, "Мини-футбол - Россия. Суперлига")+COUNTIFS('10 касса'!O2:O1048576, "Мини-футбол - Россия. Суперлига")</f>
        <v>0</v>
      </c>
    </row>
    <row r="81" spans="9:10" x14ac:dyDescent="0.3">
      <c r="I81" t="s">
        <v>137</v>
      </c>
      <c r="J81">
        <f>COUNTIFS('1 касса'!O2:O1048576, "Мини-футбол - Бразилия. Лига футзала")+COUNTIFS('2 касса'!O2:O1048576, "Мини-футбол - Бразилия. Лига футзала")+COUNTIFS('3 касса'!O2:O1048576, "Мини-футбол - Бразилия. Лига футзала")+COUNTIFS('4 касса'!O2:O1048576, "Мини-футбол - Бразилия. Лига футзала")+COUNTIFS('5 касса'!O2:O1048576, "Мини-футбол - Бразилия. Лига футзала")+COUNTIFS('6 касса'!O2:O1048576, "Мини-футбол - Бразилия. Лига футзала")+COUNTIFS('7 касса'!O2:O1048576, "Мини-футбол - Бразилия. Лига футзала")+COUNTIFS('8 касса'!O2:O1048576, "Мини-футбол - Бразилия. Лига футзала")+COUNTIFS('9 касса'!O2:O1048576, "Мини-футбол - Бразилия. Лига футзала")+COUNTIFS('10 касса'!O2:O1048576, "Мини-футбол - Бразилия. Лига футзала")</f>
        <v>0</v>
      </c>
    </row>
    <row r="82" spans="9:10" x14ac:dyDescent="0.3">
      <c r="I82" t="s">
        <v>138</v>
      </c>
      <c r="J82">
        <f>COUNTIFS('1 касса'!O2:O1048576, "Пляжный футбол - Сборные. Чемпионат мира")+COUNTIFS('2 касса'!O2:O1048576, "Пляжный футбол - Сборные. Чемпионат мира")+COUNTIFS('3 касса'!O2:O1048576, "Пляжный футбол - Сборные. Чемпионат мира")+COUNTIFS('4 касса'!O2:O1048576, "Пляжный футбол - Сборные. Чемпионат мира")+COUNTIFS('5 касса'!O2:O1048576, "Пляжный футбол - Сборные. Чемпионат мира")+COUNTIFS('6 касса'!O2:O1048576, "Пляжный футбол - Сборные. Чемпионат мира")+COUNTIFS('7 касса'!O2:O1048576, "Пляжный футбол - Сборные. Чемпионат мира")+COUNTIFS('8 касса'!O2:O1048576, "Пляжный футбол - Сборные. Чемпионат мира")+COUNTIFS('9 касса'!O2:O1048576, "Пляжный футбол - Сборные. Чемпионат мира")+COUNTIFS('10 касса'!O2:O1048576, "Пляжный футбол - Сборные. Чемпионат мира")</f>
        <v>0</v>
      </c>
    </row>
    <row r="83" spans="9:10" x14ac:dyDescent="0.3">
      <c r="I83" t="s">
        <v>139</v>
      </c>
      <c r="J83">
        <f>COUNTIFS('1 касса'!O2:O1048576, "Пляжный футбол - Сборные. Межконтинентальный кубок")+COUNTIFS('2 касса'!O2:O1048576, "Пляжный футбол - Сборные. Межконтинентальный кубок")+COUNTIFS('3 касса'!O2:O1048576, "Пляжный футбол - Сборные. Межконтинентальный кубок")+COUNTIFS('4 касса'!O2:O1048576, "Пляжный футбол - Сборные. Межконтинентальный кубок")+COUNTIFS('5 касса'!O2:O1048576, "Пляжный футбол - Сборные. Межконтинентальный кубок")+COUNTIFS('6 касса'!O2:O1048576, "Пляжный футбол - Сборные. Межконтинентальный кубок")+COUNTIFS('7 касса'!O2:O1048576, "Пляжный футбол - Сборные. Межконтинентальный кубок")+COUNTIFS('8 касса'!O2:O1048576, "Пляжный футбол - Сборные. Межконтинентальный кубок")+COUNTIFS('9 касса'!O2:O1048576, "Пляжный футбол - Сборные. Межконтинентальный кубок")+COUNTIFS('10 касса'!O2:O1048576, "Пляжный футбол - Сборные. Межконтинентальный кубок")</f>
        <v>0</v>
      </c>
    </row>
    <row r="84" spans="9:10" x14ac:dyDescent="0.3">
      <c r="I84" t="s">
        <v>140</v>
      </c>
      <c r="J84">
        <f>COUNTIFS('1 касса'!O2:O1048576, "Пляжный футбол - Сборные. Кубок Европы")+COUNTIFS('2 касса'!O2:O1048576, "Пляжный футбол - Сборные. Кубок Европы")+COUNTIFS('3 касса'!O2:O1048576, "Пляжный футбол - Сборные. Кубок Европы")+COUNTIFS('4 касса'!O2:O1048576, "Пляжный футбол - Сборные. Кубок Европы")+COUNTIFS('5 касса'!O2:O1048576, "Пляжный футбол - Сборные. Кубок Европы")+COUNTIFS('6 касса'!O2:O1048576, "Пляжный футбол - Сборные. Кубок Европы")+COUNTIFS('7 касса'!O2:O1048576, "Пляжный футбол - Сборные. Кубок Европы")+COUNTIFS('8 касса'!O2:O1048576, "Пляжный футбол - Сборные. Кубок Европы")+COUNTIFS('9 касса'!O2:O1048576, "Пляжный футбол - Сборные. Кубок Европы")+COUNTIFS('10 касса'!O2:O1048576, "Пляжный футбол - Сборные. Кубок Европы")</f>
        <v>0</v>
      </c>
    </row>
    <row r="85" spans="9:10" x14ac:dyDescent="0.3">
      <c r="I85" t="s">
        <v>141</v>
      </c>
      <c r="J85">
        <f>COUNTIFS('1 касса'!O2:O1048576, "Пляжный футбол - Кубок европейских чемпионов")+COUNTIFS('2 касса'!O2:O1048576, "Пляжный футбол - Кубок европейских чемпионов")+COUNTIFS('3 касса'!O2:O1048576, "Пляжный футбол - Кубок европейских чемпионов")+COUNTIFS('4 касса'!O2:O1048576, "Пляжный футбол - Кубок европейских чемпионов")+COUNTIFS('5 касса'!O2:O1048576, "Пляжный футбол - Кубок европейских чемпионов")+COUNTIFS('6 касса'!O2:O1048576, "Пляжный футбол - Кубок европейских чемпионов")+COUNTIFS('7 касса'!O2:O1048576, "Пляжный футбол - Кубок европейских чемпионов")+COUNTIFS('8 касса'!O2:O1048576, "Пляжный футбол - Кубок европейских чемпионов")+COUNTIFS('9 касса'!O2:O1048576, "Пляжный футбол - Кубок европейских чемпионов")+COUNTIFS('10 касса'!O2:O1048576, "Пляжный футбол - Кубок европейских чемпионов")</f>
        <v>0</v>
      </c>
    </row>
    <row r="86" spans="9:10" x14ac:dyDescent="0.3">
      <c r="I86" t="s">
        <v>142</v>
      </c>
      <c r="J86">
        <f>COUNTIFS('1 касса'!O2:O1048576, "Пляжный футбол - Чемпионат России")+COUNTIFS('2 касса'!O2:O1048576, "Пляжный футбол - Чемпионат России")+COUNTIFS('3 касса'!O2:O1048576, "Пляжный футбол - Чемпионат России")+COUNTIFS('4 касса'!O2:O1048576, "Пляжный футбол - Чемпионат России")+COUNTIFS('5 касса'!O2:O1048576, "Пляжный футбол - Чемпионат России")+COUNTIFS('6 касса'!O2:O1048576, "Пляжный футбол - Чемпионат России")+COUNTIFS('7 касса'!O2:O1048576, "Пляжный футбол - Чемпионат России")+COUNTIFS('8 касса'!O2:O1048576, "Пляжный футбол - Чемпионат России")+COUNTIFS('9 касса'!O2:O1048576, "Пляжный футбол - Чемпионат России")+COUNTIFS('10 касса'!O2:O1048576, "Пляжный футбол - Чемпионат России")</f>
        <v>0</v>
      </c>
    </row>
    <row r="87" spans="9:10" x14ac:dyDescent="0.3">
      <c r="I87" t="s">
        <v>147</v>
      </c>
      <c r="J87">
        <f>COUNTIFS('1 касса'!O2:O1048576, "Настольный теннис - Сборные. Чемпионат мира")+COUNTIFS('2 касса'!O2:O1048576, "Настольный теннис - Сборные. Чемпионат мира")+COUNTIFS('3 касса'!O2:O1048576, "Настольный теннис - Сборные. Чемпионат мира")+COUNTIFS('4 касса'!O2:O1048576, "Настольный теннис - Сборные. Чемпионат мира")+COUNTIFS('5 касса'!O2:O1048576, "Настольный теннис - Сборные. Чемпионат мира")+COUNTIFS('6 касса'!O2:O1048576, "Настольный теннис - Сборные. Чемпионат мира")+COUNTIFS('7 касса'!O2:O1048576, "Настольный теннис - Сборные. Чемпионат мира")+COUNTIFS('8 касса'!O2:O1048576, "Настольный теннис - Сборные. Чемпионат мира")+COUNTIFS('9 касса'!O2:O1048576, "Настольный теннис - Сборные. Чемпионат мира")+COUNTIFS('10 касса'!O2:O1048576, "Настольный теннис - Сборные. Чемпионат мира")</f>
        <v>0</v>
      </c>
    </row>
    <row r="88" spans="9:10" x14ac:dyDescent="0.3">
      <c r="I88" t="s">
        <v>148</v>
      </c>
      <c r="J88">
        <f>COUNTIFS('1 касса'!O2:O1048576, "Настольный теннис - Сборные. Чемпионат Европы")+COUNTIFS('2 касса'!O2:O1048576, "Настольный теннис - Сборные. Чемпионат Европы")+COUNTIFS('3 касса'!O2:O1048576, "Настольный теннис - Сборные. Чемпионат Европы")+COUNTIFS('4 касса'!O2:O1048576, "Настольный теннис - Сборные. Чемпионат Европы")+COUNTIFS('5 касса'!O2:O1048576, "Настольный теннис - Сборные. Чемпионат Европы")+COUNTIFS('6 касса'!O2:O1048576, "Настольный теннис - Сборные. Чемпионат Европы")+COUNTIFS('7 касса'!O2:O1048576, "Настольный теннис - Сборные. Чемпионат Европы")+COUNTIFS('8 касса'!O2:O1048576, "Настольный теннис - Сборные. Чемпионат Европы")+COUNTIFS('9 касса'!O2:O1048576, "Настольный теннис - Сборные. Чемпионат Европы")+COUNTIFS('10 касса'!O2:O1048576, "Настольный теннис - Сборные. Чемпионат Европы")</f>
        <v>0</v>
      </c>
    </row>
    <row r="89" spans="9:10" x14ac:dyDescent="0.3">
      <c r="I89" t="s">
        <v>149</v>
      </c>
      <c r="J89">
        <f>COUNTIFS('1 касса'!O2:O1048576, "Хоккей с мячом - Сборные. Чемпионат мира")+COUNTIFS('2 касса'!O2:O1048576, "Хоккей с мячом - Сборные. Чемпионат мира")+COUNTIFS('3 касса'!O2:O1048576, "Хоккей с мячом - Сборные. Чемпионат мира")+COUNTIFS('4 касса'!O2:O1048576, "Хоккей с мячом - Сборные. Чемпионат мира")+COUNTIFS('5 касса'!O2:O1048576, "Хоккей с мячом - Сборные. Чемпионат мира")+COUNTIFS('6 касса'!O2:O1048576, "Хоккей с мячом - Сборные. Чемпионат мира")+COUNTIFS('7 касса'!O2:O1048576, "Хоккей с мячом - Сборные. Чемпионат мира")+COUNTIFS('8 касса'!O2:O1048576, "Хоккей с мячом - Сборные. Чемпионат мира")+COUNTIFS('9 касса'!O2:O1048576, "Хоккей с мячом - Сборные. Чемпионат мира")+COUNTIFS('10 касса'!O2:O1048576, "Хоккей с мячом - Сборные. Чемпионат мира")</f>
        <v>0</v>
      </c>
    </row>
    <row r="90" spans="9:10" x14ac:dyDescent="0.3">
      <c r="I90" t="s">
        <v>150</v>
      </c>
      <c r="J90">
        <f>COUNTIFS('1 касса'!O2:O1048576, "Хоккей с мячом - Россия. Суперлига")+COUNTIFS('2 касса'!O2:O1048576, "Хоккей с мячом - Россия. Суперлига")+COUNTIFS('3 касса'!O2:O1048576, "Хоккей с мячом - Россия. Суперлига")+COUNTIFS('4 касса'!O2:O1048576, "Хоккей с мячом - Россия. Суперлига")+COUNTIFS('5 касса'!O2:O1048576, "Хоккей с мячом - Россия. Суперлига")+COUNTIFS('6 касса'!O2:O1048576, "Хоккей с мячом - Россия. Суперлига")+COUNTIFS('7 касса'!O2:O1048576, "Хоккей с мячом - Россия. Суперлига")+COUNTIFS('8 касса'!O2:O1048576, "Хоккей с мячом - Россия. Суперлига")+COUNTIFS('9 касса'!O2:O1048576, "Хоккей с мячом - Россия. Суперлига")+COUNTIFS('10 касса'!O2:O1048576, "Хоккей с мячом - Россия. Суперлига")</f>
        <v>0</v>
      </c>
    </row>
    <row r="91" spans="9:10" x14ac:dyDescent="0.3">
      <c r="I91" t="s">
        <v>144</v>
      </c>
      <c r="J91">
        <f>COUNTIFS('1 касса'!O2:O1048576, "Гандбол")+COUNTIFS('2 касса'!O2:O1048576, "Гандбол")+COUNTIFS('3 касса'!O2:O1048576, "Гандбол")+COUNTIFS('4 касса'!O2:O1048576, "Гандбол")+COUNTIFS('5 касса'!O2:O1048576, "Гандбол")+COUNTIFS('6 касса'!O2:O1048576, "Гандбол")+COUNTIFS('7 касса'!O2:O1048576, "Гандбол")+COUNTIFS('8 касса'!O2:O1048576, "Гандбол")+COUNTIFS('9 касса'!O2:O1048576, "Гандбол")+COUNTIFS('10 касса'!O2:O1048576, "Гандбол")</f>
        <v>0</v>
      </c>
    </row>
    <row r="92" spans="9:10" x14ac:dyDescent="0.3">
      <c r="I92" t="s">
        <v>155</v>
      </c>
      <c r="J92">
        <f>COUNTIFS('1 касса'!O2:O1048576, "Снукер")+COUNTIFS('2 касса'!O2:O1048576, "Снукер")+COUNTIFS('3 касса'!O2:O1048576, "Снукер")+COUNTIFS('4 касса'!O2:O1048576, "Снукер")+COUNTIFS('5 касса'!O2:O1048576, "Снукер")+COUNTIFS('6 касса'!O2:O1048576, "Снукер")+COUNTIFS('7 касса'!O2:O1048576, "Снукер")+COUNTIFS('8 касса'!O2:O1048576, "Снукер")+COUNTIFS('9 касса'!O2:O1048576, "Снукер")+COUNTIFS('10 касса'!O2:O1048576, "Снукер")</f>
        <v>0</v>
      </c>
    </row>
    <row r="93" spans="9:10" x14ac:dyDescent="0.3">
      <c r="I93" t="s">
        <v>146</v>
      </c>
      <c r="J93">
        <f>COUNTIFS('1 касса'!O2:O1048576, "Скачки")+COUNTIFS('2 касса'!O2:O1048576, "Скачки")+COUNTIFS('3 касса'!O2:O1048576, "Скачки")+COUNTIFS('4 касса'!O2:O1048576, "Скачки")+COUNTIFS('5 касса'!O2:O1048576, "Скачки")+COUNTIFS('6 касса'!O2:O1048576, "Скачки")+COUNTIFS('7 касса'!O2:O1048576, "Скачки")+COUNTIFS('8 касса'!O2:O1048576, "Скачки")+COUNTIFS('9 касса'!O2:O1048576, "Скачки")+COUNTIFS('10 касса'!O2:O1048576, "Скачки")</f>
        <v>0</v>
      </c>
    </row>
    <row r="94" spans="9:10" x14ac:dyDescent="0.3">
      <c r="I94" t="s">
        <v>153</v>
      </c>
      <c r="J94">
        <f>COUNTIFS('1 касса'!O2:O1048576, "Американский футбол")+COUNTIFS('2 касса'!O2:O1048576, "Американский футбол")+COUNTIFS('3 касса'!O2:O1048576, "Американский футбол")+COUNTIFS('4 касса'!O2:O1048576, "Американский футбол")+COUNTIFS('5 касса'!O2:O1048576, "Американский футбол")+COUNTIFS('6 касса'!O2:O1048576, "Американский футбол")+COUNTIFS('7 касса'!O2:O1048576, "Американский футбол")+COUNTIFS('8 касса'!O2:O1048576, "Американский футбол")+COUNTIFS('9 касса'!O2:O1048576, "Американский футбол")+COUNTIFS('10 касса'!O2:O1048576, "Американский футбол")</f>
        <v>0</v>
      </c>
    </row>
    <row r="95" spans="9:10" x14ac:dyDescent="0.3">
      <c r="I95" t="s">
        <v>143</v>
      </c>
      <c r="J95">
        <f>COUNTIFS('1 касса'!O2:O1048576, "Бейсбол")+COUNTIFS('2 касса'!O2:O1048576, "Бейсбол")+COUNTIFS('3 касса'!O2:O1048576, "Бейсбол")+COUNTIFS('4 касса'!O2:O1048576, "Бейсбол")+COUNTIFS('5 касса'!O2:O1048576, "Бейсбол")+COUNTIFS('6 касса'!O2:O1048576, "Бейсбол")+COUNTIFS('7 касса'!O2:O1048576, "Бейсбол")+COUNTIFS('8 касса'!O2:O1048576, "Бейсбол")+COUNTIFS('9 касса'!O2:O1048576, "Бейсбол")+COUNTIFS('10 касса'!O2:O1048576, "Бейсбол")</f>
        <v>0</v>
      </c>
    </row>
    <row r="96" spans="9:10" x14ac:dyDescent="0.3">
      <c r="I96" t="s">
        <v>157</v>
      </c>
      <c r="J96">
        <f>COUNTIFS('1 касса'!O2:O1048576, "Водное поло")+COUNTIFS('2 касса'!O2:O1048576, "Водное поло")+COUNTIFS('3 касса'!O2:O1048576, "Водное поло")+COUNTIFS('4 касса'!O2:O1048576, "Водное поло")+COUNTIFS('5 касса'!O2:O1048576, "Водное поло")+COUNTIFS('6 касса'!O2:O1048576, "Водное поло")+COUNTIFS('7 касса'!O2:O1048576, "Водное поло")+COUNTIFS('8 касса'!O2:O1048576, "Водное поло")+COUNTIFS('9 касса'!O2:O1048576, "Водное поло")+COUNTIFS('10 касса'!O2:O1048576, "Водное поло")</f>
        <v>0</v>
      </c>
    </row>
    <row r="97" spans="9:10" x14ac:dyDescent="0.3">
      <c r="I97" t="s">
        <v>156</v>
      </c>
      <c r="J97">
        <f>COUNTIFS('1 касса'!O2:O1048576, "Лыжные гонки")+COUNTIFS('2 касса'!O2:O1048576, "Лыжные гонки")+COUNTIFS('3 касса'!O2:O1048576, "Лыжные гонки")+COUNTIFS('4 касса'!O2:O1048576, "Лыжные гонки")+COUNTIFS('5 касса'!O2:O1048576, "Лыжные гонки")+COUNTIFS('6 касса'!O2:O1048576, "Лыжные гонки")+COUNTIFS('7 касса'!O2:O1048576, "Лыжные гонки")+COUNTIFS('8 касса'!O2:O1048576, "Лыжные гонки")+COUNTIFS('9 касса'!O2:O1048576, "Лыжные гонки")+COUNTIFS('10 касса'!O2:O1048576, "Лыжные гонки")</f>
        <v>0</v>
      </c>
    </row>
    <row r="98" spans="9:10" x14ac:dyDescent="0.3">
      <c r="I98" t="s">
        <v>159</v>
      </c>
      <c r="J98">
        <f>COUNTIFS('1 касса'!O2:O1048576, "Тяжёлая атлетика")+COUNTIFS('2 касса'!O2:O1048576, "Тяжёлая атлетика")+COUNTIFS('3 касса'!O2:O1048576, "Тяжёлая атлетика")+COUNTIFS('4 касса'!O2:O1048576, "Тяжёлая атлетика")+COUNTIFS('5 касса'!O2:O1048576, "Тяжёлая атлетика")+COUNTIFS('6 касса'!O2:O1048576, "Тяжёлая атлетика")+COUNTIFS('7 касса'!O2:O1048576, "Тяжёлая атлетика")+COUNTIFS('8 касса'!O2:O1048576, "Тяжёлая атлетика")+COUNTIFS('9 касса'!O2:O1048576, "Тяжёлая атлетика")+COUNTIFS('10 касса'!O2:O1048576, "Тяжёлая атлетика")</f>
        <v>0</v>
      </c>
    </row>
    <row r="99" spans="9:10" x14ac:dyDescent="0.3">
      <c r="I99" t="s">
        <v>158</v>
      </c>
      <c r="J99">
        <f>COUNTIFS('1 касса'!O2:O1048576, "Лёгкая атлетика")+COUNTIFS('2 касса'!O2:O1048576, "Лёгкая атлетика")+COUNTIFS('3 касса'!O2:O1048576, "Лёгкая атлетика")+COUNTIFS('4 касса'!O2:O1048576, "Лёгкая атлетика")+COUNTIFS('5 касса'!O2:O1048576, "Лёгкая атлетика")+COUNTIFS('6 касса'!O2:O1048576, "Лёгкая атлетика")+COUNTIFS('7 касса'!O2:O1048576, "Лёгкая атлетика")+COUNTIFS('8 касса'!O2:O1048576, "Лёгкая атлетика")+COUNTIFS('9 касса'!O2:O1048576, "Лёгкая атлетика")+COUNTIFS('10 касса'!O2:O1048576, "Лёгкая атлетика")</f>
        <v>0</v>
      </c>
    </row>
    <row r="100" spans="9:10" x14ac:dyDescent="0.3">
      <c r="I100" t="s">
        <v>161</v>
      </c>
      <c r="J100">
        <f>COUNTIFS('1 касса'!O2:O1048576, "Регби")+COUNTIFS('2 касса'!O2:O1048576, "Регби")+COUNTIFS('3 касса'!O2:O1048576, "Регби")+COUNTIFS('4 касса'!O2:O1048576, "Регби")+COUNTIFS('5 касса'!O2:O1048576, "Регби")+COUNTIFS('6 касса'!O2:O1048576, "Регби")+COUNTIFS('7 касса'!O2:O1048576, "Регби")+COUNTIFS('8 касса'!O2:O1048576, "Регби")+COUNTIFS('9 касса'!O2:O1048576, "Регби")+COUNTIFS('10 касса'!O2:O1048576, "Регби")</f>
        <v>0</v>
      </c>
    </row>
    <row r="101" spans="9:10" x14ac:dyDescent="0.3">
      <c r="I101" t="s">
        <v>162</v>
      </c>
      <c r="J101">
        <f>COUNTIFS('1 касса'!O2:O1048576, "Пляжный волейбол")+COUNTIFS('2 касса'!O2:O1048576, "Пляжный волейбол")+COUNTIFS('3 касса'!O2:O1048576, "Пляжный волейбол")+COUNTIFS('4 касса'!O2:O1048576, "Пляжный волейбол")+COUNTIFS('5 касса'!O2:O1048576, "Пляжный волейбол")+COUNTIFS('6 касса'!O2:O1048576, "Пляжный волейбол")+COUNTIFS('7 касса'!O2:O1048576, "Пляжный волейбол")+COUNTIFS('8 касса'!O2:O1048576, "Пляжный волейбол")+COUNTIFS('9 касса'!O2:O1048576, "Пляжный волейбол")+COUNTIFS('10 касса'!O2:O1048576, "Пляжный волейбол")</f>
        <v>0</v>
      </c>
    </row>
    <row r="102" spans="9:10" x14ac:dyDescent="0.3">
      <c r="I102" t="s">
        <v>160</v>
      </c>
      <c r="J102">
        <f>COUNTIFS('1 касса'!O2:O1048576, "Кёрлинг")+COUNTIFS('2 касса'!O2:O1048576, "Кёрлинг")+COUNTIFS('3 касса'!O2:O1048576, "Кёрлинг")+COUNTIFS('4 касса'!O2:O1048576, "Кёрлинг")+COUNTIFS('5 касса'!O2:O1048576, "Кёрлинг")+COUNTIFS('6 касса'!O2:O1048576, "Кёрлинг")+COUNTIFS('7 касса'!O2:O1048576, "Кёрлинг")+COUNTIFS('8 касса'!O2:O1048576, "Кёрлинг")+COUNTIFS('9 касса'!O2:O1048576, "Кёрлинг")+COUNTIFS('10 касса'!O2:O1048576, "Кёрлинг")</f>
        <v>0</v>
      </c>
    </row>
    <row r="103" spans="9:10" x14ac:dyDescent="0.3">
      <c r="I103" t="s">
        <v>163</v>
      </c>
      <c r="J103">
        <f>COUNTIFS('1 касса'!O2:O1048576, "Гольф")+COUNTIFS('2 касса'!O2:O1048576, "Гольф")+COUNTIFS('3 касса'!O2:O1048576, "Гольф")+COUNTIFS('4 касса'!O2:O1048576, "Гольф")+COUNTIFS('5 касса'!O2:O1048576, "Гольф")+COUNTIFS('6 касса'!O2:O1048576, "Гольф")+COUNTIFS('7 касса'!O2:O1048576, "Гольф")+COUNTIFS('8 касса'!O2:O1048576, "Гольф")+COUNTIFS('9 касса'!O2:O1048576, "Гольф")+COUNTIFS('10 касса'!O2:O1048576, "Гольф")</f>
        <v>0</v>
      </c>
    </row>
    <row r="104" spans="9:10" x14ac:dyDescent="0.3">
      <c r="I104" t="s">
        <v>164</v>
      </c>
      <c r="J104">
        <f>COUNTIFS('1 касса'!O2:O1048576, "Прыжки с трамплина")+COUNTIFS('2 касса'!O2:O1048576, "Прыжки с трамплина")+COUNTIFS('3 касса'!O2:O1048576, "Прыжки с трамплина")+COUNTIFS('4 касса'!O2:O1048576, "Прыжки с трамплина")+COUNTIFS('5 касса'!O2:O1048576, "Прыжки с трамплина")+COUNTIFS('6 касса'!O2:O1048576, "Прыжки с трамплина")+COUNTIFS('7 касса'!O2:O1048576, "Прыжки с трамплина")+COUNTIFS('8 касса'!O2:O1048576, "Прыжки с трамплина")+COUNTIFS('9 касса'!O2:O1048576, "Прыжки с трамплина")+COUNTIFS('10 касса'!O2:O1048576, "Прыжки с трамплина")</f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D7794-4A5B-49D9-A63F-D1DD13E66D4B}">
  <dimension ref="A1:E17"/>
  <sheetViews>
    <sheetView workbookViewId="0">
      <selection activeCell="F1" sqref="F1"/>
    </sheetView>
  </sheetViews>
  <sheetFormatPr defaultRowHeight="14.4" x14ac:dyDescent="0.3"/>
  <cols>
    <col min="1" max="1" width="24.77734375" bestFit="1" customWidth="1"/>
    <col min="2" max="2" width="21.88671875" bestFit="1" customWidth="1"/>
    <col min="3" max="4" width="4.5546875" bestFit="1" customWidth="1"/>
    <col min="5" max="5" width="9.33203125" bestFit="1" customWidth="1"/>
  </cols>
  <sheetData>
    <row r="1" spans="1:5" x14ac:dyDescent="0.3">
      <c r="A1" t="s">
        <v>204</v>
      </c>
      <c r="B1" t="s">
        <v>205</v>
      </c>
      <c r="C1" t="s">
        <v>206</v>
      </c>
      <c r="D1" t="s">
        <v>207</v>
      </c>
      <c r="E1" t="s">
        <v>208</v>
      </c>
    </row>
    <row r="2" spans="1:5" x14ac:dyDescent="0.3">
      <c r="A2" t="s">
        <v>209</v>
      </c>
      <c r="B2" t="s">
        <v>223</v>
      </c>
      <c r="C2">
        <v>4</v>
      </c>
      <c r="D2">
        <v>12</v>
      </c>
      <c r="E2" t="s">
        <v>211</v>
      </c>
    </row>
    <row r="3" spans="1:5" x14ac:dyDescent="0.3">
      <c r="A3" t="s">
        <v>212</v>
      </c>
      <c r="B3" t="s">
        <v>229</v>
      </c>
      <c r="C3">
        <v>4</v>
      </c>
      <c r="D3">
        <v>10</v>
      </c>
      <c r="E3" t="s">
        <v>211</v>
      </c>
    </row>
    <row r="4" spans="1:5" x14ac:dyDescent="0.3">
      <c r="A4" t="s">
        <v>214</v>
      </c>
      <c r="B4" t="s">
        <v>213</v>
      </c>
      <c r="C4">
        <v>4</v>
      </c>
      <c r="D4">
        <v>9</v>
      </c>
      <c r="E4" t="s">
        <v>211</v>
      </c>
    </row>
    <row r="5" spans="1:5" x14ac:dyDescent="0.3">
      <c r="A5" t="s">
        <v>216</v>
      </c>
      <c r="B5" t="s">
        <v>231</v>
      </c>
      <c r="C5">
        <v>4</v>
      </c>
      <c r="D5">
        <v>8</v>
      </c>
      <c r="E5" t="s">
        <v>211</v>
      </c>
    </row>
    <row r="6" spans="1:5" x14ac:dyDescent="0.3">
      <c r="A6" t="s">
        <v>218</v>
      </c>
      <c r="B6" t="s">
        <v>215</v>
      </c>
      <c r="C6">
        <v>4</v>
      </c>
      <c r="D6">
        <v>7</v>
      </c>
      <c r="E6" t="s">
        <v>211</v>
      </c>
    </row>
    <row r="7" spans="1:5" x14ac:dyDescent="0.3">
      <c r="A7" t="s">
        <v>220</v>
      </c>
      <c r="B7" t="s">
        <v>219</v>
      </c>
      <c r="C7">
        <v>3</v>
      </c>
      <c r="D7">
        <v>6</v>
      </c>
      <c r="E7" t="s">
        <v>211</v>
      </c>
    </row>
    <row r="8" spans="1:5" x14ac:dyDescent="0.3">
      <c r="A8" t="s">
        <v>222</v>
      </c>
      <c r="B8" t="s">
        <v>233</v>
      </c>
      <c r="C8">
        <v>4</v>
      </c>
      <c r="D8">
        <v>5</v>
      </c>
      <c r="E8" t="s">
        <v>211</v>
      </c>
    </row>
    <row r="9" spans="1:5" x14ac:dyDescent="0.3">
      <c r="A9" t="s">
        <v>224</v>
      </c>
      <c r="B9" t="s">
        <v>217</v>
      </c>
      <c r="C9">
        <v>3</v>
      </c>
      <c r="D9">
        <v>4</v>
      </c>
      <c r="E9" t="s">
        <v>211</v>
      </c>
    </row>
    <row r="10" spans="1:5" x14ac:dyDescent="0.3">
      <c r="A10" t="s">
        <v>226</v>
      </c>
      <c r="B10" t="s">
        <v>210</v>
      </c>
      <c r="C10">
        <v>3</v>
      </c>
      <c r="D10">
        <v>4</v>
      </c>
      <c r="E10" t="s">
        <v>211</v>
      </c>
    </row>
    <row r="11" spans="1:5" x14ac:dyDescent="0.3">
      <c r="A11" t="s">
        <v>228</v>
      </c>
      <c r="B11" t="s">
        <v>221</v>
      </c>
      <c r="C11">
        <v>3</v>
      </c>
      <c r="D11">
        <v>3</v>
      </c>
      <c r="E11" t="s">
        <v>211</v>
      </c>
    </row>
    <row r="12" spans="1:5" x14ac:dyDescent="0.3">
      <c r="A12" t="s">
        <v>230</v>
      </c>
      <c r="B12" t="s">
        <v>227</v>
      </c>
      <c r="C12">
        <v>3</v>
      </c>
      <c r="D12">
        <v>3</v>
      </c>
      <c r="E12" t="s">
        <v>211</v>
      </c>
    </row>
    <row r="13" spans="1:5" x14ac:dyDescent="0.3">
      <c r="A13" t="s">
        <v>232</v>
      </c>
      <c r="B13" t="s">
        <v>241</v>
      </c>
      <c r="C13">
        <v>3</v>
      </c>
      <c r="D13">
        <v>3</v>
      </c>
      <c r="E13" t="s">
        <v>211</v>
      </c>
    </row>
    <row r="14" spans="1:5" x14ac:dyDescent="0.3">
      <c r="A14" t="s">
        <v>234</v>
      </c>
      <c r="B14" t="s">
        <v>240</v>
      </c>
      <c r="C14">
        <v>4</v>
      </c>
      <c r="D14">
        <v>2</v>
      </c>
      <c r="E14" t="s">
        <v>211</v>
      </c>
    </row>
    <row r="15" spans="1:5" x14ac:dyDescent="0.3">
      <c r="A15" t="s">
        <v>236</v>
      </c>
      <c r="B15" t="s">
        <v>235</v>
      </c>
      <c r="C15">
        <v>3</v>
      </c>
      <c r="D15">
        <v>1</v>
      </c>
      <c r="E15" t="s">
        <v>211</v>
      </c>
    </row>
    <row r="16" spans="1:5" x14ac:dyDescent="0.3">
      <c r="A16" t="s">
        <v>238</v>
      </c>
      <c r="B16" t="s">
        <v>225</v>
      </c>
      <c r="C16">
        <v>4</v>
      </c>
      <c r="D16">
        <v>1</v>
      </c>
      <c r="E16" t="s">
        <v>211</v>
      </c>
    </row>
    <row r="17" spans="1:5" x14ac:dyDescent="0.3">
      <c r="A17" t="s">
        <v>239</v>
      </c>
      <c r="B17" t="s">
        <v>237</v>
      </c>
      <c r="C17">
        <v>3</v>
      </c>
      <c r="D17">
        <v>0</v>
      </c>
      <c r="E17" t="s">
        <v>211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89D558-1702-43BD-A74D-E18DFAB422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7</vt:i4>
      </vt:variant>
    </vt:vector>
  </HeadingPairs>
  <TitlesOfParts>
    <vt:vector size="20" baseType="lpstr">
      <vt:lpstr>1 касса</vt:lpstr>
      <vt:lpstr>2 касса</vt:lpstr>
      <vt:lpstr>3 касса</vt:lpstr>
      <vt:lpstr>4 касса</vt:lpstr>
      <vt:lpstr>5 касса</vt:lpstr>
      <vt:lpstr>6 касса</vt:lpstr>
      <vt:lpstr>7 касса</vt:lpstr>
      <vt:lpstr>8 касса</vt:lpstr>
      <vt:lpstr>9 касса</vt:lpstr>
      <vt:lpstr>10 касса</vt:lpstr>
      <vt:lpstr>Все кассы</vt:lpstr>
      <vt:lpstr>Мастерская</vt:lpstr>
      <vt:lpstr>Новости</vt:lpstr>
      <vt:lpstr>ВидСпортаЧемпионат</vt:lpstr>
      <vt:lpstr>ВидСтавки</vt:lpstr>
      <vt:lpstr>ИдеяСтавки</vt:lpstr>
      <vt:lpstr>Итог</vt:lpstr>
      <vt:lpstr>ИтогВЦифрах</vt:lpstr>
      <vt:lpstr>Ставка</vt:lpstr>
      <vt:lpstr>ЧьяИдея</vt:lpstr>
    </vt:vector>
  </TitlesOfParts>
  <Manager>Емельянов Григорий</Manager>
  <Company>Емельянов Григорий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Емельянов Григорий</dc:title>
  <dc:subject>Емельянов Григорий</dc:subject>
  <dc:creator>Емельянов Григорий</dc:creator>
  <cp:keywords>Емельянов Григорий</cp:keywords>
  <dc:description>Емельянов Григорий</dc:description>
  <cp:lastModifiedBy/>
  <cp:revision>Емельянов Григорий</cp:revision>
  <dcterms:created xsi:type="dcterms:W3CDTF">2015-06-05T18:19:34Z</dcterms:created>
  <dcterms:modified xsi:type="dcterms:W3CDTF">2023-12-08T09:32:24Z</dcterms:modified>
  <cp:category>Емельянов Григорий</cp:category>
  <cp:contentStatus>Емельянов Григорий</cp:contentStatus>
  <dc:language>Емельянов Григорий</dc:language>
  <cp:version>Емельянов Григорий</cp:version>
</cp:coreProperties>
</file>